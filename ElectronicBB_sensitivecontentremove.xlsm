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ustomProperty1.bin" ContentType="application/vnd.openxmlformats-officedocument.spreadsheetml.customProperty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ily\Scripts\VBA\"/>
    </mc:Choice>
  </mc:AlternateContent>
  <xr:revisionPtr revIDLastSave="0" documentId="13_ncr:1_{2C2AB45F-5530-41BA-B323-AA72AB03DF63}" xr6:coauthVersionLast="47" xr6:coauthVersionMax="47" xr10:uidLastSave="{00000000-0000-0000-0000-000000000000}"/>
  <bookViews>
    <workbookView xWindow="-120" yWindow="-120" windowWidth="29040" windowHeight="15840" tabRatio="788" activeTab="2" xr2:uid="{00000000-000D-0000-FFFF-FFFF00000000}"/>
  </bookViews>
  <sheets>
    <sheet name="Enter" sheetId="28" r:id="rId1"/>
    <sheet name="Read" sheetId="27" r:id="rId2"/>
    <sheet name="January" sheetId="14" r:id="rId3"/>
    <sheet name="February" sheetId="15" r:id="rId4"/>
    <sheet name="March" sheetId="16" r:id="rId5"/>
    <sheet name="April" sheetId="17" r:id="rId6"/>
    <sheet name="May" sheetId="18" r:id="rId7"/>
    <sheet name="June" sheetId="19" r:id="rId8"/>
    <sheet name="July" sheetId="20" r:id="rId9"/>
    <sheet name="August" sheetId="21" r:id="rId10"/>
    <sheet name="September" sheetId="22" r:id="rId11"/>
    <sheet name="October" sheetId="23" r:id="rId12"/>
    <sheet name="November" sheetId="24" r:id="rId13"/>
    <sheet name="December" sheetId="25" r:id="rId14"/>
  </sheets>
  <functionGroups builtInGroupCount="19"/>
  <definedNames>
    <definedName name="CalendarYear">January!$K$3</definedName>
    <definedName name="ColumnTitleRegion1..H12.1">January!$B$2</definedName>
    <definedName name="ColumnTitleRegion1..H12.10">October!$B$2</definedName>
    <definedName name="ColumnTitleRegion1..H12.11">November!$B$2</definedName>
    <definedName name="ColumnTitleRegion1..H12.12">December!$B$2</definedName>
    <definedName name="ColumnTitleRegion1..H12.2">February!$B$2</definedName>
    <definedName name="ColumnTitleRegion1..H12.3">March!$B$2</definedName>
    <definedName name="ColumnTitleRegion1..H12.4">April!$B$2</definedName>
    <definedName name="ColumnTitleRegion1..H12.5">May!$B$2</definedName>
    <definedName name="ColumnTitleRegion1..H12.6">June!$B$2</definedName>
    <definedName name="ColumnTitleRegion1..H12.7">July!$B$2</definedName>
    <definedName name="ColumnTitleRegion1..H12.8">August!$B$2</definedName>
    <definedName name="ColumnTitleRegion1..H12.9">September!$B$2</definedName>
    <definedName name="ColumnTitleRegion2..C14.1">January!$B$2</definedName>
    <definedName name="ColumnTitleRegion2..C14.10">October!$B$2</definedName>
    <definedName name="ColumnTitleRegion2..C14.11">November!$B$2</definedName>
    <definedName name="ColumnTitleRegion2..C14.12">December!$B$2</definedName>
    <definedName name="ColumnTitleRegion2..C14.2">February!$B$2</definedName>
    <definedName name="ColumnTitleRegion2..C14.3">March!$B$2</definedName>
    <definedName name="ColumnTitleRegion2..C14.4">April!$B$2</definedName>
    <definedName name="ColumnTitleRegion2..C14.5">May!$B$2</definedName>
    <definedName name="ColumnTitleRegion2..C14.6">June!$B$2</definedName>
    <definedName name="ColumnTitleRegion2..C14.7">July!$B$2</definedName>
    <definedName name="ColumnTitleRegion2..C14.8">August!$B$2</definedName>
    <definedName name="ColumnTitleRegion2..C14.9">September!$B$2</definedName>
    <definedName name="DaysAndWeeks">{0,1,2,3,4,5,6} + {0;1;2;3;4;5}*7</definedName>
    <definedName name="_xlnm.Print_Area" localSheetId="2">January!$A$1:$H$14</definedName>
    <definedName name="WeekStart">January!$K$4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X50" i="27" l="1"/>
  <c r="B2" i="25" l="1"/>
  <c r="B2" i="24"/>
  <c r="B2" i="23"/>
  <c r="B2" i="22"/>
  <c r="B2" i="21"/>
  <c r="B2" i="20"/>
  <c r="B2" i="19"/>
  <c r="B2" i="18"/>
  <c r="B2" i="17"/>
  <c r="B2" i="16"/>
  <c r="B2" i="15" l="1"/>
  <c r="B1" i="17" l="1"/>
  <c r="B1" i="19" l="1"/>
  <c r="B1" i="18"/>
  <c r="B1" i="21"/>
  <c r="B1" i="20"/>
  <c r="B1" i="23"/>
  <c r="B1" i="22"/>
  <c r="B1" i="25"/>
  <c r="B1" i="24"/>
  <c r="B1" i="16"/>
  <c r="B1" i="15"/>
  <c r="B1" i="14"/>
  <c r="B13" i="25" a="1"/>
  <c r="C13" i="25" s="1"/>
  <c r="B11" i="25" a="1"/>
  <c r="H11" i="25" s="1"/>
  <c r="B9" i="25" a="1"/>
  <c r="G9" i="25" s="1"/>
  <c r="B7" i="25" a="1"/>
  <c r="G7" i="25" s="1"/>
  <c r="B5" i="25" a="1"/>
  <c r="H5" i="25" s="1"/>
  <c r="B3" i="25" a="1"/>
  <c r="G3" i="25" s="1"/>
  <c r="G2" i="25" s="1"/>
  <c r="B13" i="24" a="1"/>
  <c r="C13" i="24" s="1"/>
  <c r="B11" i="24" a="1"/>
  <c r="H11" i="24" s="1"/>
  <c r="B9" i="24" a="1"/>
  <c r="G9" i="24" s="1"/>
  <c r="B7" i="24" a="1"/>
  <c r="G7" i="24" s="1"/>
  <c r="B5" i="24" a="1"/>
  <c r="H5" i="24" s="1"/>
  <c r="B3" i="24" a="1"/>
  <c r="G3" i="24" s="1"/>
  <c r="G2" i="24" s="1"/>
  <c r="B13" i="23" a="1"/>
  <c r="C13" i="23" s="1"/>
  <c r="B11" i="23" a="1"/>
  <c r="H11" i="23" s="1"/>
  <c r="B9" i="23" a="1"/>
  <c r="G9" i="23" s="1"/>
  <c r="B7" i="23" a="1"/>
  <c r="G7" i="23" s="1"/>
  <c r="B5" i="23" a="1"/>
  <c r="H5" i="23" s="1"/>
  <c r="B3" i="23" a="1"/>
  <c r="G3" i="23" s="1"/>
  <c r="G2" i="23" s="1"/>
  <c r="B13" i="22" a="1"/>
  <c r="C13" i="22" s="1"/>
  <c r="B11" i="22" a="1"/>
  <c r="H11" i="22" s="1"/>
  <c r="B9" i="22" a="1"/>
  <c r="G9" i="22" s="1"/>
  <c r="B7" i="22" a="1"/>
  <c r="H7" i="22" s="1"/>
  <c r="B5" i="22" a="1"/>
  <c r="G5" i="22" s="1"/>
  <c r="B3" i="22" a="1"/>
  <c r="H3" i="22" s="1"/>
  <c r="H2" i="22" s="1"/>
  <c r="B13" i="21" a="1"/>
  <c r="C13" i="21" s="1"/>
  <c r="B11" i="21" a="1"/>
  <c r="H11" i="21" s="1"/>
  <c r="B9" i="21" a="1"/>
  <c r="G9" i="21" s="1"/>
  <c r="B7" i="21" a="1"/>
  <c r="G7" i="21" s="1"/>
  <c r="B5" i="21" a="1"/>
  <c r="H5" i="21" s="1"/>
  <c r="B3" i="21" a="1"/>
  <c r="G3" i="21" s="1"/>
  <c r="G2" i="21" s="1"/>
  <c r="B13" i="20" a="1"/>
  <c r="C13" i="20" s="1"/>
  <c r="B11" i="20" a="1"/>
  <c r="H11" i="20" s="1"/>
  <c r="B9" i="20" a="1"/>
  <c r="G9" i="20" s="1"/>
  <c r="B7" i="20" a="1"/>
  <c r="H7" i="20" s="1"/>
  <c r="B5" i="20" a="1"/>
  <c r="G5" i="20" s="1"/>
  <c r="B3" i="20" a="1"/>
  <c r="E3" i="20" s="1"/>
  <c r="E2" i="20" s="1"/>
  <c r="B13" i="19" a="1"/>
  <c r="C13" i="19" s="1"/>
  <c r="B11" i="19" a="1"/>
  <c r="H11" i="19" s="1"/>
  <c r="B9" i="19" a="1"/>
  <c r="G9" i="19" s="1"/>
  <c r="B7" i="19" a="1"/>
  <c r="H7" i="19" s="1"/>
  <c r="B5" i="19" a="1"/>
  <c r="G5" i="19" s="1"/>
  <c r="B3" i="19" a="1"/>
  <c r="H3" i="19" s="1"/>
  <c r="H2" i="19" s="1"/>
  <c r="B13" i="18" a="1"/>
  <c r="C13" i="18" s="1"/>
  <c r="B11" i="18" a="1"/>
  <c r="G11" i="18" s="1"/>
  <c r="B9" i="18" a="1"/>
  <c r="G9" i="18" s="1"/>
  <c r="B7" i="18" a="1"/>
  <c r="G7" i="18" s="1"/>
  <c r="B5" i="18" a="1"/>
  <c r="G5" i="18" s="1"/>
  <c r="B3" i="18" a="1"/>
  <c r="G3" i="18" s="1"/>
  <c r="G2" i="18" s="1"/>
  <c r="B13" i="17" a="1"/>
  <c r="B13" i="17" s="1"/>
  <c r="B11" i="17" a="1"/>
  <c r="G11" i="17" s="1"/>
  <c r="B9" i="17" a="1"/>
  <c r="H9" i="17" s="1"/>
  <c r="B7" i="17" a="1"/>
  <c r="H7" i="17" s="1"/>
  <c r="B5" i="17" a="1"/>
  <c r="G5" i="17" s="1"/>
  <c r="B3" i="17" a="1"/>
  <c r="H3" i="17" s="1"/>
  <c r="H2" i="17" s="1"/>
  <c r="B13" i="16" a="1"/>
  <c r="C13" i="16" s="1"/>
  <c r="B11" i="16" a="1"/>
  <c r="H11" i="16" s="1"/>
  <c r="B9" i="16" a="1"/>
  <c r="G9" i="16" s="1"/>
  <c r="B7" i="16" a="1"/>
  <c r="H7" i="16" s="1"/>
  <c r="B5" i="16" a="1"/>
  <c r="G5" i="16" s="1"/>
  <c r="B3" i="16" a="1"/>
  <c r="H3" i="16" s="1"/>
  <c r="H2" i="16" s="1"/>
  <c r="B13" i="15" a="1"/>
  <c r="C13" i="15" s="1"/>
  <c r="B11" i="15" a="1"/>
  <c r="H11" i="15" s="1"/>
  <c r="B9" i="15" a="1"/>
  <c r="G9" i="15" s="1"/>
  <c r="B7" i="15" a="1"/>
  <c r="H7" i="15" s="1"/>
  <c r="B5" i="15" a="1"/>
  <c r="G5" i="15" s="1"/>
  <c r="B3" i="15" a="1"/>
  <c r="H3" i="15" s="1"/>
  <c r="H2" i="15" s="1"/>
  <c r="B7" i="18" l="1"/>
  <c r="B3" i="18"/>
  <c r="B11" i="18"/>
  <c r="F3" i="18"/>
  <c r="F2" i="18" s="1"/>
  <c r="F7" i="18"/>
  <c r="F11" i="18"/>
  <c r="D5" i="18"/>
  <c r="H5" i="18"/>
  <c r="D9" i="18"/>
  <c r="H9" i="18"/>
  <c r="D3" i="18"/>
  <c r="D2" i="18" s="1"/>
  <c r="H3" i="18"/>
  <c r="H2" i="18" s="1"/>
  <c r="B5" i="18"/>
  <c r="F5" i="18"/>
  <c r="D7" i="18"/>
  <c r="H7" i="18"/>
  <c r="B9" i="18"/>
  <c r="F9" i="18"/>
  <c r="D11" i="18"/>
  <c r="H11" i="18"/>
  <c r="B13" i="18"/>
  <c r="C5" i="25"/>
  <c r="E5" i="25"/>
  <c r="G5" i="25"/>
  <c r="C11" i="25"/>
  <c r="E11" i="25"/>
  <c r="G11" i="25"/>
  <c r="B3" i="25"/>
  <c r="D3" i="25"/>
  <c r="D2" i="25" s="1"/>
  <c r="F3" i="25"/>
  <c r="F2" i="25" s="1"/>
  <c r="H3" i="25"/>
  <c r="H2" i="25" s="1"/>
  <c r="B5" i="25"/>
  <c r="D5" i="25"/>
  <c r="F5" i="25"/>
  <c r="B7" i="25"/>
  <c r="D7" i="25"/>
  <c r="F7" i="25"/>
  <c r="H7" i="25"/>
  <c r="B9" i="25"/>
  <c r="D9" i="25"/>
  <c r="F9" i="25"/>
  <c r="H9" i="25"/>
  <c r="B11" i="25"/>
  <c r="D11" i="25"/>
  <c r="F11" i="25"/>
  <c r="B13" i="25"/>
  <c r="C3" i="25"/>
  <c r="C2" i="25" s="1"/>
  <c r="E3" i="25"/>
  <c r="E2" i="25" s="1"/>
  <c r="C7" i="25"/>
  <c r="E7" i="25"/>
  <c r="C9" i="25"/>
  <c r="E9" i="25"/>
  <c r="C5" i="24"/>
  <c r="E5" i="24"/>
  <c r="G5" i="24"/>
  <c r="C11" i="24"/>
  <c r="E11" i="24"/>
  <c r="G11" i="24"/>
  <c r="B3" i="24"/>
  <c r="D3" i="24"/>
  <c r="D2" i="24" s="1"/>
  <c r="F3" i="24"/>
  <c r="F2" i="24" s="1"/>
  <c r="H3" i="24"/>
  <c r="H2" i="24" s="1"/>
  <c r="B5" i="24"/>
  <c r="D5" i="24"/>
  <c r="F5" i="24"/>
  <c r="B7" i="24"/>
  <c r="D7" i="24"/>
  <c r="F7" i="24"/>
  <c r="H7" i="24"/>
  <c r="B9" i="24"/>
  <c r="D9" i="24"/>
  <c r="F9" i="24"/>
  <c r="H9" i="24"/>
  <c r="B11" i="24"/>
  <c r="D11" i="24"/>
  <c r="F11" i="24"/>
  <c r="B13" i="24"/>
  <c r="C3" i="24"/>
  <c r="C2" i="24" s="1"/>
  <c r="E3" i="24"/>
  <c r="E2" i="24" s="1"/>
  <c r="C7" i="24"/>
  <c r="E7" i="24"/>
  <c r="C9" i="24"/>
  <c r="E9" i="24"/>
  <c r="C5" i="23"/>
  <c r="E5" i="23"/>
  <c r="G5" i="23"/>
  <c r="C11" i="23"/>
  <c r="E11" i="23"/>
  <c r="G11" i="23"/>
  <c r="B3" i="23"/>
  <c r="D3" i="23"/>
  <c r="D2" i="23" s="1"/>
  <c r="F3" i="23"/>
  <c r="F2" i="23" s="1"/>
  <c r="H3" i="23"/>
  <c r="H2" i="23" s="1"/>
  <c r="B5" i="23"/>
  <c r="D5" i="23"/>
  <c r="F5" i="23"/>
  <c r="B7" i="23"/>
  <c r="D7" i="23"/>
  <c r="F7" i="23"/>
  <c r="H7" i="23"/>
  <c r="B9" i="23"/>
  <c r="D9" i="23"/>
  <c r="F9" i="23"/>
  <c r="H9" i="23"/>
  <c r="B11" i="23"/>
  <c r="D11" i="23"/>
  <c r="F11" i="23"/>
  <c r="B13" i="23"/>
  <c r="C3" i="23"/>
  <c r="C2" i="23" s="1"/>
  <c r="E3" i="23"/>
  <c r="E2" i="23" s="1"/>
  <c r="C7" i="23"/>
  <c r="E7" i="23"/>
  <c r="C9" i="23"/>
  <c r="E9" i="23"/>
  <c r="C3" i="22"/>
  <c r="C2" i="22" s="1"/>
  <c r="E3" i="22"/>
  <c r="E2" i="22" s="1"/>
  <c r="G3" i="22"/>
  <c r="G2" i="22" s="1"/>
  <c r="C7" i="22"/>
  <c r="E7" i="22"/>
  <c r="G7" i="22"/>
  <c r="C11" i="22"/>
  <c r="E11" i="22"/>
  <c r="G11" i="22"/>
  <c r="B3" i="22"/>
  <c r="D3" i="22"/>
  <c r="D2" i="22" s="1"/>
  <c r="F3" i="22"/>
  <c r="F2" i="22" s="1"/>
  <c r="B5" i="22"/>
  <c r="D5" i="22"/>
  <c r="F5" i="22"/>
  <c r="H5" i="22"/>
  <c r="B7" i="22"/>
  <c r="D7" i="22"/>
  <c r="F7" i="22"/>
  <c r="B9" i="22"/>
  <c r="D9" i="22"/>
  <c r="F9" i="22"/>
  <c r="H9" i="22"/>
  <c r="B11" i="22"/>
  <c r="D11" i="22"/>
  <c r="F11" i="22"/>
  <c r="B13" i="22"/>
  <c r="C5" i="22"/>
  <c r="E5" i="22"/>
  <c r="C9" i="22"/>
  <c r="E9" i="22"/>
  <c r="C5" i="21"/>
  <c r="E5" i="21"/>
  <c r="G5" i="21"/>
  <c r="C11" i="21"/>
  <c r="E11" i="21"/>
  <c r="G11" i="21"/>
  <c r="B3" i="21"/>
  <c r="D3" i="21"/>
  <c r="D2" i="21" s="1"/>
  <c r="F3" i="21"/>
  <c r="F2" i="21" s="1"/>
  <c r="H3" i="21"/>
  <c r="H2" i="21" s="1"/>
  <c r="B5" i="21"/>
  <c r="D5" i="21"/>
  <c r="F5" i="21"/>
  <c r="B7" i="21"/>
  <c r="D7" i="21"/>
  <c r="F7" i="21"/>
  <c r="H7" i="21"/>
  <c r="B9" i="21"/>
  <c r="D9" i="21"/>
  <c r="F9" i="21"/>
  <c r="H9" i="21"/>
  <c r="B11" i="21"/>
  <c r="D11" i="21"/>
  <c r="F11" i="21"/>
  <c r="B13" i="21"/>
  <c r="C3" i="21"/>
  <c r="C2" i="21" s="1"/>
  <c r="E3" i="21"/>
  <c r="E2" i="21" s="1"/>
  <c r="C7" i="21"/>
  <c r="E7" i="21"/>
  <c r="C9" i="21"/>
  <c r="E9" i="21"/>
  <c r="C3" i="20"/>
  <c r="C2" i="20" s="1"/>
  <c r="G3" i="20"/>
  <c r="G2" i="20" s="1"/>
  <c r="C7" i="20"/>
  <c r="E7" i="20"/>
  <c r="G7" i="20"/>
  <c r="C11" i="20"/>
  <c r="E11" i="20"/>
  <c r="G11" i="20"/>
  <c r="B3" i="20"/>
  <c r="D3" i="20"/>
  <c r="D2" i="20" s="1"/>
  <c r="F3" i="20"/>
  <c r="F2" i="20" s="1"/>
  <c r="H3" i="20"/>
  <c r="H2" i="20" s="1"/>
  <c r="B5" i="20"/>
  <c r="D5" i="20"/>
  <c r="F5" i="20"/>
  <c r="H5" i="20"/>
  <c r="B7" i="20"/>
  <c r="D7" i="20"/>
  <c r="F7" i="20"/>
  <c r="B9" i="20"/>
  <c r="D9" i="20"/>
  <c r="F9" i="20"/>
  <c r="H9" i="20"/>
  <c r="B11" i="20"/>
  <c r="D11" i="20"/>
  <c r="F11" i="20"/>
  <c r="B13" i="20"/>
  <c r="C5" i="20"/>
  <c r="E5" i="20"/>
  <c r="C9" i="20"/>
  <c r="E9" i="20"/>
  <c r="C3" i="19"/>
  <c r="C2" i="19" s="1"/>
  <c r="E3" i="19"/>
  <c r="E2" i="19" s="1"/>
  <c r="G3" i="19"/>
  <c r="G2" i="19" s="1"/>
  <c r="C7" i="19"/>
  <c r="E7" i="19"/>
  <c r="G7" i="19"/>
  <c r="C11" i="19"/>
  <c r="E11" i="19"/>
  <c r="G11" i="19"/>
  <c r="B3" i="19"/>
  <c r="D3" i="19"/>
  <c r="D2" i="19" s="1"/>
  <c r="F3" i="19"/>
  <c r="F2" i="19" s="1"/>
  <c r="B5" i="19"/>
  <c r="D5" i="19"/>
  <c r="F5" i="19"/>
  <c r="H5" i="19"/>
  <c r="B7" i="19"/>
  <c r="D7" i="19"/>
  <c r="F7" i="19"/>
  <c r="B9" i="19"/>
  <c r="D9" i="19"/>
  <c r="F9" i="19"/>
  <c r="H9" i="19"/>
  <c r="B11" i="19"/>
  <c r="D11" i="19"/>
  <c r="F11" i="19"/>
  <c r="B13" i="19"/>
  <c r="C5" i="19"/>
  <c r="E5" i="19"/>
  <c r="C9" i="19"/>
  <c r="E9" i="19"/>
  <c r="C3" i="18"/>
  <c r="C2" i="18" s="1"/>
  <c r="E3" i="18"/>
  <c r="E2" i="18" s="1"/>
  <c r="C5" i="18"/>
  <c r="E5" i="18"/>
  <c r="C7" i="18"/>
  <c r="E7" i="18"/>
  <c r="C9" i="18"/>
  <c r="E9" i="18"/>
  <c r="C11" i="18"/>
  <c r="E11" i="18"/>
  <c r="C3" i="17"/>
  <c r="C2" i="17" s="1"/>
  <c r="E3" i="17"/>
  <c r="E2" i="17" s="1"/>
  <c r="G3" i="17"/>
  <c r="G2" i="17" s="1"/>
  <c r="C7" i="17"/>
  <c r="E7" i="17"/>
  <c r="G7" i="17"/>
  <c r="C9" i="17"/>
  <c r="E9" i="17"/>
  <c r="G9" i="17"/>
  <c r="C13" i="17"/>
  <c r="B3" i="17"/>
  <c r="D3" i="17"/>
  <c r="D2" i="17" s="1"/>
  <c r="F3" i="17"/>
  <c r="F2" i="17" s="1"/>
  <c r="B5" i="17"/>
  <c r="D5" i="17"/>
  <c r="F5" i="17"/>
  <c r="H5" i="17"/>
  <c r="B7" i="17"/>
  <c r="D7" i="17"/>
  <c r="F7" i="17"/>
  <c r="B9" i="17"/>
  <c r="D9" i="17"/>
  <c r="F9" i="17"/>
  <c r="B11" i="17"/>
  <c r="D11" i="17"/>
  <c r="F11" i="17"/>
  <c r="H11" i="17"/>
  <c r="C5" i="17"/>
  <c r="E5" i="17"/>
  <c r="C11" i="17"/>
  <c r="E11" i="17"/>
  <c r="C3" i="16"/>
  <c r="C2" i="16" s="1"/>
  <c r="E3" i="16"/>
  <c r="E2" i="16" s="1"/>
  <c r="G3" i="16"/>
  <c r="G2" i="16" s="1"/>
  <c r="C7" i="16"/>
  <c r="E7" i="16"/>
  <c r="G7" i="16"/>
  <c r="C11" i="16"/>
  <c r="E11" i="16"/>
  <c r="G11" i="16"/>
  <c r="B3" i="16"/>
  <c r="D3" i="16"/>
  <c r="D2" i="16" s="1"/>
  <c r="F3" i="16"/>
  <c r="F2" i="16" s="1"/>
  <c r="B5" i="16"/>
  <c r="D5" i="16"/>
  <c r="F5" i="16"/>
  <c r="H5" i="16"/>
  <c r="B7" i="16"/>
  <c r="D7" i="16"/>
  <c r="F7" i="16"/>
  <c r="B9" i="16"/>
  <c r="D9" i="16"/>
  <c r="F9" i="16"/>
  <c r="H9" i="16"/>
  <c r="B11" i="16"/>
  <c r="D11" i="16"/>
  <c r="F11" i="16"/>
  <c r="B13" i="16"/>
  <c r="C5" i="16"/>
  <c r="E5" i="16"/>
  <c r="C9" i="16"/>
  <c r="E9" i="16"/>
  <c r="C3" i="15"/>
  <c r="C2" i="15" s="1"/>
  <c r="E3" i="15"/>
  <c r="E2" i="15" s="1"/>
  <c r="G3" i="15"/>
  <c r="G2" i="15" s="1"/>
  <c r="C7" i="15"/>
  <c r="E7" i="15"/>
  <c r="G7" i="15"/>
  <c r="C11" i="15"/>
  <c r="E11" i="15"/>
  <c r="G11" i="15"/>
  <c r="B3" i="15"/>
  <c r="D3" i="15"/>
  <c r="D2" i="15" s="1"/>
  <c r="F3" i="15"/>
  <c r="F2" i="15" s="1"/>
  <c r="B5" i="15"/>
  <c r="D5" i="15"/>
  <c r="F5" i="15"/>
  <c r="H5" i="15"/>
  <c r="B7" i="15"/>
  <c r="D7" i="15"/>
  <c r="F7" i="15"/>
  <c r="B9" i="15"/>
  <c r="D9" i="15"/>
  <c r="F9" i="15"/>
  <c r="H9" i="15"/>
  <c r="B11" i="15"/>
  <c r="D11" i="15"/>
  <c r="F11" i="15"/>
  <c r="B13" i="15"/>
  <c r="C5" i="15"/>
  <c r="E5" i="15"/>
  <c r="C9" i="15"/>
  <c r="E9" i="15"/>
  <c r="B2" i="14"/>
  <c r="B13" i="14" l="1" a="1"/>
  <c r="C13" i="14" s="1"/>
  <c r="B11" i="14" a="1"/>
  <c r="C11" i="14" s="1"/>
  <c r="B9" i="14" a="1"/>
  <c r="B9" i="14" s="1"/>
  <c r="B7" i="14" a="1"/>
  <c r="B7" i="14" s="1"/>
  <c r="B5" i="14" a="1"/>
  <c r="B5" i="14" s="1"/>
  <c r="B3" i="14" a="1"/>
  <c r="B3" i="14" s="1"/>
  <c r="E5" i="14" l="1"/>
  <c r="G5" i="14"/>
  <c r="C5" i="14"/>
  <c r="G9" i="14"/>
  <c r="E9" i="14"/>
  <c r="C9" i="14"/>
  <c r="H5" i="14"/>
  <c r="F5" i="14"/>
  <c r="D5" i="14"/>
  <c r="G7" i="14"/>
  <c r="C7" i="14"/>
  <c r="H9" i="14"/>
  <c r="F9" i="14"/>
  <c r="D9" i="14"/>
  <c r="E7" i="14"/>
  <c r="B13" i="14"/>
  <c r="H11" i="14"/>
  <c r="F11" i="14"/>
  <c r="D11" i="14"/>
  <c r="B11" i="14"/>
  <c r="G11" i="14"/>
  <c r="E11" i="14"/>
  <c r="H7" i="14"/>
  <c r="F7" i="14"/>
  <c r="D7" i="14"/>
  <c r="G3" i="14"/>
  <c r="G2" i="14" s="1"/>
  <c r="E3" i="14"/>
  <c r="E2" i="14" s="1"/>
  <c r="C3" i="14"/>
  <c r="C2" i="14" s="1"/>
  <c r="H3" i="14"/>
  <c r="H2" i="14" s="1"/>
  <c r="F3" i="14"/>
  <c r="F2" i="14" s="1"/>
  <c r="D3" i="14"/>
  <c r="D2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Baily Hohman</author>
  </authors>
  <commentList>
    <comment ref="G4" authorId="0" shapeId="0" xr:uid="{14648899-01A7-469F-9AE1-38B8C86DE11B}">
      <text>
        <r>
          <rPr>
            <sz val="14"/>
            <color indexed="81"/>
            <rFont val="Tahoma"/>
            <family val="2"/>
          </rPr>
          <t>******** 1/1/2021 ********
Sweep the floors (5)
Polish the brass (10)
Mike on PTO
Clean out incubators (60) &lt;Very dirty! It took me an hour last time - Sarah&gt;
*************************
Estimated Time: 75mins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Baily Hohman</author>
  </authors>
  <commentList>
    <comment ref="C14" authorId="0" shapeId="0" xr:uid="{00000000-0006-0000-0300-000001000000}">
      <text>
        <r>
          <rPr>
            <sz val="14"/>
            <color indexed="81"/>
            <rFont val="Tahoma"/>
            <family val="2"/>
          </rPr>
          <t>******** 3/8/2021 ********
we will kep you tho (5) &lt;May have different color tape!&gt;
*************************
Estimated Time: 5mins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Baily Hohman</author>
  </authors>
  <commentList>
    <comment ref="C6" authorId="0" shapeId="0" xr:uid="{00000000-0006-0000-0400-000001000000}">
      <text>
        <r>
          <rPr>
            <sz val="14"/>
            <color indexed="81"/>
            <rFont val="Tahoma"/>
            <family val="2"/>
          </rPr>
          <t>******** 3/8/2021 ********
we will kep you tho (5) &lt;May have different color tape!&gt;
*************************
Estimated Time: 5mins</t>
        </r>
      </text>
    </comment>
    <comment ref="D6" authorId="0" shapeId="0" xr:uid="{00000000-0006-0000-0400-000002000000}">
      <text>
        <r>
          <rPr>
            <sz val="14"/>
            <color indexed="81"/>
            <rFont val="Tahoma"/>
            <family val="2"/>
          </rPr>
          <t>******** 3/9/2021 ********
lets try and move oyu
*************************
Estimated Time: mins</t>
        </r>
      </text>
    </comment>
    <comment ref="E6" authorId="0" shapeId="0" xr:uid="{00000000-0006-0000-0400-000003000000}">
      <text>
        <r>
          <rPr>
            <sz val="14"/>
            <color indexed="81"/>
            <rFont val="Tahoma"/>
            <family val="2"/>
          </rPr>
          <t>******** 3/10/2021 ********
you are just for loks  &lt;and tests&gt;
we will kep you tho (5) &lt;May have different color tape!&gt;
*************************
Estimated Time: 5mins</t>
        </r>
      </text>
    </comment>
  </commentList>
</comments>
</file>

<file path=xl/sharedStrings.xml><?xml version="1.0" encoding="utf-8"?>
<sst xmlns="http://schemas.openxmlformats.org/spreadsheetml/2006/main" count="55" uniqueCount="27">
  <si>
    <t>SUNDAY</t>
  </si>
  <si>
    <t>Notes</t>
  </si>
  <si>
    <t>Year</t>
  </si>
  <si>
    <t>Week Start</t>
  </si>
  <si>
    <t>Calendar Settings</t>
  </si>
  <si>
    <t>Task</t>
  </si>
  <si>
    <t>Date:</t>
  </si>
  <si>
    <t>Status</t>
  </si>
  <si>
    <t>Time</t>
  </si>
  <si>
    <t>To-Do List</t>
  </si>
  <si>
    <t>Schedule Tasks Central</t>
  </si>
  <si>
    <t>P</t>
  </si>
  <si>
    <t>C</t>
  </si>
  <si>
    <t>PPPPPPPP</t>
  </si>
  <si>
    <t>CCCCCCCCCCC</t>
  </si>
  <si>
    <t>CCCCCCCPCCC</t>
  </si>
  <si>
    <t>CCCPCCCCCCC</t>
  </si>
  <si>
    <t xml:space="preserve">( </t>
  </si>
  <si>
    <t>CCCCCPCCCCC</t>
  </si>
  <si>
    <t>PP</t>
  </si>
  <si>
    <t>CCCCPPPPPCC</t>
  </si>
  <si>
    <t>lets try and move oyu</t>
  </si>
  <si>
    <t>we will kep you tho (5) &lt;May have different color tape!&gt;</t>
  </si>
  <si>
    <t>you are just for loks  &lt;and tests&gt;
we will kep you tho (5) &lt;May have different color tape!&gt;</t>
  </si>
  <si>
    <t>PPPPPPP</t>
  </si>
  <si>
    <t>PPPPPP</t>
  </si>
  <si>
    <t>Sweep the floors (5)
Polish the brass (10)
Mike on PTO
Clean out incubators (60) &lt;Very dirty! It took me an hour last time - Sarah&gt;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</si>
</sst>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/d/yy;@"/>
  </numFmts>
  <fonts count="25" x14ac:knownFonts="1">
    <font>
      <sz val="11"/>
      <color theme="1" tint="0.24994659260841701"/>
      <name val="Lucida Sans"/>
      <family val="2"/>
      <scheme val="minor"/>
    </font>
    <font>
      <sz val="8"/>
      <name val="Arial"/>
      <family val="2"/>
    </font>
    <font>
      <sz val="10"/>
      <name val="Century Gothic"/>
      <family val="2"/>
    </font>
    <font>
      <b/>
      <sz val="11"/>
      <color theme="0"/>
      <name val="Lucida Sans"/>
      <family val="2"/>
      <scheme val="minor"/>
    </font>
    <font>
      <b/>
      <sz val="14"/>
      <color theme="0"/>
      <name val="Lucida Sans"/>
      <family val="2"/>
      <scheme val="minor"/>
    </font>
    <font>
      <sz val="35"/>
      <color theme="4"/>
      <name val="Lucida Sans"/>
      <family val="2"/>
      <scheme val="minor"/>
    </font>
    <font>
      <sz val="11"/>
      <color theme="1" tint="0.34998626667073579"/>
      <name val="Lucida Sans"/>
      <family val="2"/>
      <scheme val="minor"/>
    </font>
    <font>
      <sz val="11"/>
      <color theme="4" tint="-0.24994659260841701"/>
      <name val="Lucida Sans"/>
      <family val="2"/>
      <scheme val="minor"/>
    </font>
    <font>
      <sz val="11"/>
      <color indexed="63"/>
      <name val="Lucida Sans"/>
      <family val="2"/>
      <scheme val="minor"/>
    </font>
    <font>
      <b/>
      <sz val="11"/>
      <color theme="1" tint="0.34998626667073579"/>
      <name val="Lucida Sans"/>
      <family val="2"/>
      <scheme val="minor"/>
    </font>
    <font>
      <sz val="11"/>
      <color theme="1" tint="0.24994659260841701"/>
      <name val="Lucida Sans"/>
      <family val="2"/>
      <scheme val="minor"/>
    </font>
    <font>
      <i/>
      <sz val="11"/>
      <color theme="1" tint="0.34998626667073579"/>
      <name val="Lucida Sans"/>
      <family val="2"/>
      <charset val="238"/>
      <scheme val="minor"/>
    </font>
    <font>
      <sz val="11"/>
      <color theme="1" tint="0.34998626667073579"/>
      <name val="Lucida Sans"/>
      <family val="2"/>
      <charset val="238"/>
      <scheme val="minor"/>
    </font>
    <font>
      <b/>
      <sz val="11"/>
      <color theme="1" tint="0.34998626667073579"/>
      <name val="Lucida Sans"/>
      <family val="2"/>
      <charset val="238"/>
      <scheme val="minor"/>
    </font>
    <font>
      <sz val="35"/>
      <color theme="1"/>
      <name val="Rockwell"/>
      <family val="1"/>
      <scheme val="major"/>
    </font>
    <font>
      <sz val="11"/>
      <color theme="1"/>
      <name val="Rockwell"/>
      <family val="1"/>
      <scheme val="major"/>
    </font>
    <font>
      <b/>
      <sz val="11"/>
      <color theme="1" tint="0.24994659260841701"/>
      <name val="Lucida Sans"/>
      <family val="2"/>
      <charset val="238"/>
      <scheme val="minor"/>
    </font>
    <font>
      <sz val="35"/>
      <color theme="0"/>
      <name val="Rockwell"/>
      <family val="1"/>
      <scheme val="major"/>
    </font>
    <font>
      <sz val="35"/>
      <color theme="0"/>
      <name val="Lucida Sans"/>
      <family val="2"/>
      <scheme val="minor"/>
    </font>
    <font>
      <sz val="11"/>
      <color theme="0"/>
      <name val="Lucida Sans"/>
      <family val="2"/>
      <scheme val="minor"/>
    </font>
    <font>
      <sz val="11"/>
      <name val="Rockwell"/>
      <family val="1"/>
      <scheme val="major"/>
    </font>
    <font>
      <sz val="11"/>
      <color rgb="FF404040"/>
      <name val="Lucida Sans"/>
      <family val="2"/>
    </font>
    <font>
      <b/>
      <sz val="14"/>
      <color rgb="FF404040"/>
      <name val="Lucida Sans"/>
      <family val="2"/>
    </font>
    <font>
      <b/>
      <sz val="14"/>
      <color rgb="FF000000"/>
      <name val="Lucida Sans"/>
      <family val="2"/>
    </font>
    <font>
      <sz val="14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F49AA7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19">
    <xf numFmtId="0" fontId="0" fillId="0" borderId="0">
      <alignment vertical="top"/>
    </xf>
    <xf numFmtId="0" fontId="8" fillId="3" borderId="0" applyNumberFormat="0" applyBorder="0" applyAlignment="0" applyProtection="0"/>
    <xf numFmtId="0" fontId="7" fillId="0" borderId="3" applyNumberFormat="0" applyFill="0" applyProtection="0">
      <alignment horizontal="left" vertical="center" indent="1"/>
    </xf>
    <xf numFmtId="0" fontId="3" fillId="4" borderId="1" applyNumberFormat="0" applyAlignment="0" applyProtection="0"/>
    <xf numFmtId="0" fontId="4" fillId="5" borderId="2" applyNumberFormat="0" applyProtection="0">
      <alignment vertical="center"/>
    </xf>
    <xf numFmtId="0" fontId="5" fillId="0" borderId="0" applyFill="0" applyBorder="0" applyProtection="0">
      <alignment vertical="center"/>
    </xf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9" fillId="6" borderId="0" applyBorder="0" applyProtection="0">
      <alignment horizontal="left" vertical="top" wrapText="1" indent="1"/>
    </xf>
    <xf numFmtId="0" fontId="7" fillId="0" borderId="0" applyFill="0" applyProtection="0"/>
    <xf numFmtId="0" fontId="10" fillId="0" borderId="0" applyFill="0" applyProtection="0"/>
    <xf numFmtId="0" fontId="14" fillId="2" borderId="0">
      <alignment vertical="center"/>
    </xf>
    <xf numFmtId="0" fontId="15" fillId="0" borderId="4">
      <alignment horizontal="left" vertical="center" indent="1"/>
    </xf>
    <xf numFmtId="164" fontId="9" fillId="7" borderId="0">
      <alignment horizontal="left" wrapText="1" indent="1"/>
    </xf>
    <xf numFmtId="164" fontId="13" fillId="0" borderId="0">
      <alignment horizontal="left" indent="1"/>
    </xf>
    <xf numFmtId="0" fontId="12" fillId="0" borderId="0" applyAlignment="0">
      <alignment horizontal="left"/>
    </xf>
  </cellStyleXfs>
  <cellXfs count="106">
    <xf numFmtId="0" fontId="0" fillId="0" borderId="0" xfId="0">
      <alignment vertical="top"/>
    </xf>
    <xf numFmtId="0" fontId="0" fillId="2" borderId="0" xfId="0" applyFill="1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right"/>
    </xf>
    <xf numFmtId="0" fontId="0" fillId="0" borderId="0" xfId="0" applyFont="1">
      <alignment vertical="top"/>
    </xf>
    <xf numFmtId="0" fontId="0" fillId="2" borderId="0" xfId="0" applyFont="1" applyFill="1" applyAlignment="1">
      <alignment horizontal="right"/>
    </xf>
    <xf numFmtId="0" fontId="0" fillId="0" borderId="0" xfId="0">
      <alignment vertical="top"/>
    </xf>
    <xf numFmtId="0" fontId="0" fillId="0" borderId="0" xfId="0">
      <alignment vertical="top"/>
    </xf>
    <xf numFmtId="0" fontId="16" fillId="0" borderId="0" xfId="13" applyFont="1" applyAlignment="1">
      <alignment horizontal="right"/>
    </xf>
    <xf numFmtId="164" fontId="11" fillId="8" borderId="5" xfId="0" applyNumberFormat="1" applyFont="1" applyFill="1" applyBorder="1" applyAlignment="1">
      <alignment horizontal="left" indent="1"/>
    </xf>
    <xf numFmtId="0" fontId="9" fillId="8" borderId="8" xfId="11" applyFill="1" applyBorder="1" applyAlignment="1">
      <alignment vertical="top" wrapText="1"/>
    </xf>
    <xf numFmtId="164" fontId="9" fillId="7" borderId="0" xfId="16">
      <alignment horizontal="left" wrapText="1" indent="1"/>
    </xf>
    <xf numFmtId="164" fontId="13" fillId="7" borderId="0" xfId="16" applyFont="1">
      <alignment horizontal="left" wrapText="1" indent="1"/>
    </xf>
    <xf numFmtId="164" fontId="13" fillId="0" borderId="0" xfId="17">
      <alignment horizontal="left" indent="1"/>
    </xf>
    <xf numFmtId="0" fontId="12" fillId="0" borderId="0" xfId="18" applyAlignment="1">
      <alignment horizontal="left"/>
    </xf>
    <xf numFmtId="0" fontId="16" fillId="0" borderId="0" xfId="13" applyFont="1" applyAlignment="1">
      <alignment horizontal="right" vertical="top"/>
    </xf>
    <xf numFmtId="0" fontId="12" fillId="0" borderId="0" xfId="18" applyAlignment="1">
      <alignment horizontal="left" vertical="top"/>
    </xf>
    <xf numFmtId="0" fontId="5" fillId="9" borderId="0" xfId="5" applyFill="1" applyBorder="1" applyAlignment="1">
      <alignment horizontal="left" vertical="center"/>
    </xf>
    <xf numFmtId="0" fontId="7" fillId="9" borderId="0" xfId="2" applyFill="1" applyBorder="1" applyAlignment="1">
      <alignment vertical="center"/>
    </xf>
    <xf numFmtId="0" fontId="14" fillId="11" borderId="0" xfId="14" applyFont="1" applyFill="1">
      <alignment vertical="center"/>
    </xf>
    <xf numFmtId="0" fontId="5" fillId="11" borderId="0" xfId="5" applyFill="1" applyBorder="1" applyAlignment="1">
      <alignment horizontal="left" vertical="center"/>
    </xf>
    <xf numFmtId="0" fontId="5" fillId="11" borderId="0" xfId="5" applyNumberFormat="1" applyFill="1" applyBorder="1" applyAlignment="1">
      <alignment horizontal="left" vertical="center"/>
    </xf>
    <xf numFmtId="0" fontId="7" fillId="11" borderId="0" xfId="2" applyFill="1" applyBorder="1" applyAlignment="1">
      <alignment vertical="center"/>
    </xf>
    <xf numFmtId="0" fontId="5" fillId="11" borderId="0" xfId="5" applyFill="1" applyAlignment="1">
      <alignment horizontal="left" vertical="center"/>
    </xf>
    <xf numFmtId="0" fontId="14" fillId="12" borderId="0" xfId="14" applyFill="1">
      <alignment vertical="center"/>
    </xf>
    <xf numFmtId="0" fontId="5" fillId="12" borderId="0" xfId="5" applyFill="1" applyBorder="1" applyAlignment="1">
      <alignment horizontal="left" vertical="center"/>
    </xf>
    <xf numFmtId="0" fontId="7" fillId="12" borderId="0" xfId="2" applyFill="1" applyBorder="1" applyAlignment="1">
      <alignment vertical="center"/>
    </xf>
    <xf numFmtId="0" fontId="5" fillId="12" borderId="0" xfId="5" applyFill="1" applyBorder="1" applyAlignment="1">
      <alignment horizontal="right" vertical="center"/>
    </xf>
    <xf numFmtId="0" fontId="14" fillId="13" borderId="0" xfId="14" applyFill="1">
      <alignment vertical="center"/>
    </xf>
    <xf numFmtId="0" fontId="5" fillId="13" borderId="0" xfId="5" applyFill="1" applyBorder="1" applyAlignment="1">
      <alignment horizontal="left" vertical="center"/>
    </xf>
    <xf numFmtId="0" fontId="7" fillId="13" borderId="0" xfId="2" applyFill="1" applyBorder="1" applyAlignment="1">
      <alignment vertical="center"/>
    </xf>
    <xf numFmtId="0" fontId="5" fillId="13" borderId="0" xfId="5" applyFill="1" applyBorder="1" applyAlignment="1">
      <alignment horizontal="right" vertical="center"/>
    </xf>
    <xf numFmtId="0" fontId="14" fillId="9" borderId="0" xfId="14" applyFill="1">
      <alignment vertical="center"/>
    </xf>
    <xf numFmtId="0" fontId="5" fillId="9" borderId="0" xfId="5" applyFill="1" applyBorder="1" applyAlignment="1">
      <alignment horizontal="right" vertical="center"/>
    </xf>
    <xf numFmtId="0" fontId="14" fillId="14" borderId="0" xfId="14" applyFill="1">
      <alignment vertical="center"/>
    </xf>
    <xf numFmtId="0" fontId="5" fillId="14" borderId="0" xfId="5" applyFill="1" applyBorder="1" applyAlignment="1">
      <alignment horizontal="left" vertical="center"/>
    </xf>
    <xf numFmtId="0" fontId="7" fillId="14" borderId="0" xfId="2" applyFill="1" applyBorder="1" applyAlignment="1">
      <alignment vertical="center"/>
    </xf>
    <xf numFmtId="0" fontId="5" fillId="14" borderId="0" xfId="5" applyFill="1" applyBorder="1" applyAlignment="1">
      <alignment horizontal="right" vertical="center"/>
    </xf>
    <xf numFmtId="0" fontId="17" fillId="10" borderId="0" xfId="14" applyFont="1" applyFill="1">
      <alignment vertical="center"/>
    </xf>
    <xf numFmtId="0" fontId="18" fillId="10" borderId="0" xfId="5" applyFont="1" applyFill="1" applyBorder="1" applyAlignment="1">
      <alignment horizontal="left" vertical="center"/>
    </xf>
    <xf numFmtId="0" fontId="19" fillId="10" borderId="0" xfId="2" applyFont="1" applyFill="1" applyBorder="1" applyAlignment="1">
      <alignment vertical="center"/>
    </xf>
    <xf numFmtId="0" fontId="18" fillId="10" borderId="0" xfId="5" applyFont="1" applyFill="1" applyBorder="1" applyAlignment="1">
      <alignment horizontal="right" vertical="center"/>
    </xf>
    <xf numFmtId="0" fontId="14" fillId="15" borderId="0" xfId="14" applyFill="1">
      <alignment vertical="center"/>
    </xf>
    <xf numFmtId="0" fontId="5" fillId="15" borderId="0" xfId="5" applyFill="1" applyBorder="1" applyAlignment="1">
      <alignment horizontal="left" vertical="center"/>
    </xf>
    <xf numFmtId="0" fontId="7" fillId="15" borderId="0" xfId="2" applyFill="1" applyBorder="1" applyAlignment="1">
      <alignment vertical="center"/>
    </xf>
    <xf numFmtId="0" fontId="5" fillId="15" borderId="0" xfId="5" applyFill="1" applyBorder="1" applyAlignment="1">
      <alignment horizontal="right" vertical="center"/>
    </xf>
    <xf numFmtId="0" fontId="14" fillId="16" borderId="0" xfId="14" applyFill="1">
      <alignment vertical="center"/>
    </xf>
    <xf numFmtId="0" fontId="5" fillId="16" borderId="0" xfId="5" applyFill="1" applyBorder="1" applyAlignment="1">
      <alignment horizontal="left" vertical="center"/>
    </xf>
    <xf numFmtId="0" fontId="7" fillId="16" borderId="0" xfId="2" applyFill="1" applyBorder="1" applyAlignment="1">
      <alignment vertical="center"/>
    </xf>
    <xf numFmtId="0" fontId="5" fillId="16" borderId="0" xfId="5" applyFill="1" applyBorder="1" applyAlignment="1">
      <alignment horizontal="right" vertical="center"/>
    </xf>
    <xf numFmtId="0" fontId="14" fillId="17" borderId="0" xfId="14" applyFill="1">
      <alignment vertical="center"/>
    </xf>
    <xf numFmtId="0" fontId="5" fillId="17" borderId="0" xfId="5" applyFill="1" applyBorder="1" applyAlignment="1">
      <alignment horizontal="left" vertical="center"/>
    </xf>
    <xf numFmtId="0" fontId="7" fillId="17" borderId="0" xfId="2" applyFill="1" applyBorder="1" applyAlignment="1">
      <alignment vertical="center"/>
    </xf>
    <xf numFmtId="0" fontId="5" fillId="17" borderId="0" xfId="5" applyFill="1" applyBorder="1" applyAlignment="1">
      <alignment horizontal="right" vertical="center"/>
    </xf>
    <xf numFmtId="0" fontId="5" fillId="18" borderId="0" xfId="5" applyFill="1" applyBorder="1" applyAlignment="1">
      <alignment horizontal="left" vertical="center"/>
    </xf>
    <xf numFmtId="0" fontId="7" fillId="18" borderId="0" xfId="2" applyFill="1" applyBorder="1" applyAlignment="1">
      <alignment vertical="center"/>
    </xf>
    <xf numFmtId="0" fontId="5" fillId="18" borderId="0" xfId="5" applyFill="1" applyBorder="1" applyAlignment="1">
      <alignment horizontal="right" vertical="center"/>
    </xf>
    <xf numFmtId="0" fontId="5" fillId="19" borderId="0" xfId="5" applyFill="1" applyBorder="1" applyAlignment="1">
      <alignment horizontal="left" vertical="center"/>
    </xf>
    <xf numFmtId="0" fontId="7" fillId="19" borderId="0" xfId="2" applyFill="1" applyBorder="1" applyAlignment="1">
      <alignment vertical="center"/>
    </xf>
    <xf numFmtId="0" fontId="5" fillId="19" borderId="0" xfId="5" applyFill="1" applyBorder="1" applyAlignment="1">
      <alignment horizontal="right" vertical="center"/>
    </xf>
    <xf numFmtId="0" fontId="17" fillId="18" borderId="0" xfId="14" applyFont="1" applyFill="1">
      <alignment vertical="center"/>
    </xf>
    <xf numFmtId="0" fontId="14" fillId="20" borderId="0" xfId="14" applyFill="1">
      <alignment vertical="center"/>
    </xf>
    <xf numFmtId="0" fontId="5" fillId="20" borderId="0" xfId="5" applyFill="1" applyBorder="1" applyAlignment="1">
      <alignment horizontal="left" vertical="center"/>
    </xf>
    <xf numFmtId="0" fontId="7" fillId="20" borderId="0" xfId="2" applyFill="1" applyBorder="1" applyAlignment="1">
      <alignment vertical="center"/>
    </xf>
    <xf numFmtId="0" fontId="5" fillId="20" borderId="0" xfId="5" applyFill="1" applyBorder="1" applyAlignment="1">
      <alignment horizontal="right" vertical="center"/>
    </xf>
    <xf numFmtId="0" fontId="17" fillId="19" borderId="0" xfId="14" applyFont="1" applyFill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14" fontId="0" fillId="0" borderId="0" xfId="0" applyNumberFormat="1" applyAlignment="1">
      <alignment vertical="top"/>
    </xf>
    <xf numFmtId="49" fontId="13" fillId="0" borderId="0" xfId="17" applyNumberFormat="1" applyAlignment="1">
      <alignment horizontal="distributed" indent="1"/>
    </xf>
    <xf numFmtId="164" fontId="13" fillId="0" borderId="0" xfId="17" applyAlignment="1">
      <alignment horizontal="left" wrapText="1" indent="1"/>
    </xf>
    <xf numFmtId="0" fontId="0" fillId="0" borderId="0" xfId="0" applyAlignment="1">
      <alignment vertical="top" wrapText="1"/>
    </xf>
    <xf numFmtId="164" fontId="13" fillId="0" borderId="0" xfId="17" applyAlignment="1">
      <alignment horizontal="left" wrapText="1"/>
    </xf>
    <xf numFmtId="164" fontId="9" fillId="7" borderId="0" xfId="16" applyFont="1">
      <alignment horizontal="left" wrapText="1" indent="1"/>
    </xf>
    <xf numFmtId="164" fontId="9" fillId="0" borderId="0" xfId="17" applyFont="1" applyAlignment="1">
      <alignment horizontal="left" wrapText="1" indent="1"/>
    </xf>
    <xf numFmtId="0" fontId="20" fillId="21" borderId="4" xfId="15" applyFont="1" applyFill="1">
      <alignment horizontal="left" vertical="center" indent="1"/>
    </xf>
    <xf numFmtId="0" fontId="15" fillId="8" borderId="4" xfId="15" applyFont="1" applyFill="1">
      <alignment horizontal="left" vertical="center" indent="1"/>
    </xf>
    <xf numFmtId="0" fontId="15" fillId="22" borderId="4" xfId="15" applyFont="1" applyFill="1">
      <alignment horizontal="left" vertical="center" indent="1"/>
    </xf>
    <xf numFmtId="0" fontId="15" fillId="23" borderId="4" xfId="15" applyFont="1" applyFill="1">
      <alignment horizontal="left" vertical="center" indent="1"/>
    </xf>
    <xf numFmtId="0" fontId="15" fillId="24" borderId="4" xfId="15" applyFont="1" applyFill="1">
      <alignment horizontal="left" vertical="center" indent="1"/>
    </xf>
    <xf numFmtId="0" fontId="15" fillId="25" borderId="4" xfId="15" applyFont="1" applyFill="1">
      <alignment horizontal="left" vertical="center" indent="1"/>
    </xf>
    <xf numFmtId="0" fontId="15" fillId="26" borderId="4" xfId="15" applyFont="1" applyFill="1">
      <alignment horizontal="lef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4" fillId="2" borderId="0" xfId="14" applyAlignment="1">
      <alignment vertical="center"/>
    </xf>
    <xf numFmtId="14" fontId="0" fillId="0" borderId="0" xfId="0" applyNumberFormat="1">
      <alignment vertical="top"/>
    </xf>
    <xf numFmtId="0" fontId="0" fillId="0" borderId="0" xfId="0" applyAlignment="1">
      <alignment horizontal="right" vertical="center"/>
    </xf>
    <xf numFmtId="164" fontId="6" fillId="0" borderId="0" xfId="17" applyFont="1" applyAlignment="1">
      <alignment horizontal="left" wrapText="1" indent="1"/>
    </xf>
    <xf numFmtId="164" fontId="9" fillId="7" borderId="0" xfId="16" applyAlignment="1">
      <alignment horizontal="left" wrapText="1" indent="1"/>
    </xf>
    <xf numFmtId="0" fontId="0" fillId="0" borderId="0" xfId="0" applyAlignment="1">
      <alignment vertical="distributed"/>
    </xf>
    <xf numFmtId="0" fontId="0" fillId="0" borderId="0" xfId="0" applyAlignment="1">
      <alignment vertical="distributed" wrapText="1"/>
    </xf>
    <xf numFmtId="0" fontId="14" fillId="2" borderId="0" xfId="14" applyAlignment="1">
      <alignment horizontal="center" vertical="center"/>
    </xf>
    <xf numFmtId="165" fontId="0" fillId="0" borderId="0" xfId="0" applyNumberFormat="1" applyAlignment="1" applyProtection="1">
      <alignment horizontal="left" vertical="top"/>
      <protection locked="0"/>
    </xf>
    <xf numFmtId="0" fontId="14" fillId="27" borderId="0" xfId="14" applyFill="1">
      <alignment vertical="center"/>
    </xf>
    <xf numFmtId="0" fontId="0" fillId="8" borderId="6" xfId="0" applyFont="1" applyFill="1" applyBorder="1" applyAlignment="1">
      <alignment vertical="top"/>
    </xf>
    <xf numFmtId="0" fontId="0" fillId="8" borderId="7" xfId="0" applyFont="1" applyFill="1" applyBorder="1" applyAlignment="1">
      <alignment vertical="top"/>
    </xf>
    <xf numFmtId="0" fontId="0" fillId="8" borderId="9" xfId="0" applyFont="1" applyFill="1" applyBorder="1" applyAlignment="1">
      <alignment vertical="top"/>
    </xf>
    <xf numFmtId="0" fontId="0" fillId="8" borderId="10" xfId="0" applyFont="1" applyFill="1" applyBorder="1" applyAlignment="1">
      <alignment vertical="top"/>
    </xf>
    <xf numFmtId="0" fontId="15" fillId="0" borderId="4" xfId="15" applyAlignment="1">
      <alignment horizontal="center" vertical="center"/>
    </xf>
    <xf numFmtId="49" fontId="13" fillId="0" borderId="0" xfId="17" applyNumberFormat="1" applyAlignment="1">
      <alignment horizontal="distributed" wrapText="1" indent="1"/>
    </xf>
  </cellXfs>
  <cellStyles count="19">
    <cellStyle name="40% - Accent1" xfId="1" builtinId="31" customBuiltin="1"/>
    <cellStyle name="Accent1" xfId="3" builtinId="29" customBuiltin="1"/>
    <cellStyle name="Accent5" xfId="4" builtinId="45" customBuiltin="1"/>
    <cellStyle name="Banded" xfId="16" xr:uid="{00000000-0005-0000-0000-000003000000}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Day" xfId="17" xr:uid="{00000000-0005-0000-0000-000008000000}"/>
    <cellStyle name="Day-Name" xfId="15" xr:uid="{00000000-0005-0000-0000-000009000000}"/>
    <cellStyle name="Heading 1" xfId="2" builtinId="16" customBuiltin="1"/>
    <cellStyle name="Heading 2" xfId="12" builtinId="17" customBuiltin="1"/>
    <cellStyle name="Heading 3" xfId="13" builtinId="18" customBuiltin="1"/>
    <cellStyle name="Heading 4" xfId="11" builtinId="19" customBuiltin="1"/>
    <cellStyle name="Month" xfId="14" xr:uid="{00000000-0005-0000-0000-00000F000000}"/>
    <cellStyle name="Normal" xfId="0" builtinId="0" customBuiltin="1"/>
    <cellStyle name="Percent" xfId="10" builtinId="5" customBuiltin="1"/>
    <cellStyle name="Settings Entry" xfId="18" xr:uid="{00000000-0005-0000-0000-000012000000}"/>
    <cellStyle name="Title" xfId="5" builtinId="15" customBuiltin="1"/>
  </cellStyles>
  <dxfs count="45"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  <mruColors>
      <color rgb="FFA9FC9E"/>
      <color rgb="FFF49AA7"/>
      <color rgb="FFC7A1E3"/>
      <color rgb="FFFFFFC1"/>
      <color rgb="FFA6DA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3</xdr:row>
          <xdr:rowOff>28575</xdr:rowOff>
        </xdr:from>
        <xdr:to>
          <xdr:col>2</xdr:col>
          <xdr:colOff>476250</xdr:colOff>
          <xdr:row>6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Sterility by MF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57150</xdr:rowOff>
        </xdr:from>
        <xdr:to>
          <xdr:col>2</xdr:col>
          <xdr:colOff>476250</xdr:colOff>
          <xdr:row>20</xdr:row>
          <xdr:rowOff>85725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Sterility by NonIso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3</xdr:row>
          <xdr:rowOff>28575</xdr:rowOff>
        </xdr:from>
        <xdr:to>
          <xdr:col>7</xdr:col>
          <xdr:colOff>638175</xdr:colOff>
          <xdr:row>6</xdr:row>
          <xdr:rowOff>57150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Cycles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3</xdr:row>
          <xdr:rowOff>28575</xdr:rowOff>
        </xdr:from>
        <xdr:to>
          <xdr:col>5</xdr:col>
          <xdr:colOff>171450</xdr:colOff>
          <xdr:row>6</xdr:row>
          <xdr:rowOff>57150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BF by MF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2</xdr:col>
          <xdr:colOff>476250</xdr:colOff>
          <xdr:row>11</xdr:row>
          <xdr:rowOff>9525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Sterility by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7</xdr:row>
          <xdr:rowOff>161925</xdr:rowOff>
        </xdr:from>
        <xdr:to>
          <xdr:col>5</xdr:col>
          <xdr:colOff>171450</xdr:colOff>
          <xdr:row>11</xdr:row>
          <xdr:rowOff>9525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BF by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12</xdr:row>
          <xdr:rowOff>104775</xdr:rowOff>
        </xdr:from>
        <xdr:to>
          <xdr:col>2</xdr:col>
          <xdr:colOff>476250</xdr:colOff>
          <xdr:row>15</xdr:row>
          <xdr:rowOff>133350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Sterility by DTt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7</xdr:row>
          <xdr:rowOff>161925</xdr:rowOff>
        </xdr:from>
        <xdr:to>
          <xdr:col>7</xdr:col>
          <xdr:colOff>628650</xdr:colOff>
          <xdr:row>11</xdr:row>
          <xdr:rowOff>9525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Custom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</xdr:row>
          <xdr:rowOff>57150</xdr:rowOff>
        </xdr:from>
        <xdr:to>
          <xdr:col>6</xdr:col>
          <xdr:colOff>638175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Refresh To-Do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4</xdr:row>
          <xdr:rowOff>133350</xdr:rowOff>
        </xdr:from>
        <xdr:to>
          <xdr:col>6</xdr:col>
          <xdr:colOff>638175</xdr:colOff>
          <xdr:row>6</xdr:row>
          <xdr:rowOff>342900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1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Print To-Do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7</xdr:row>
          <xdr:rowOff>66675</xdr:rowOff>
        </xdr:from>
        <xdr:to>
          <xdr:col>6</xdr:col>
          <xdr:colOff>638175</xdr:colOff>
          <xdr:row>9</xdr:row>
          <xdr:rowOff>200025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1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Lucida Sans"/>
                </a:rPr>
                <a:t>Mark everything as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3</xdr:row>
          <xdr:rowOff>323850</xdr:rowOff>
        </xdr:from>
        <xdr:to>
          <xdr:col>10</xdr:col>
          <xdr:colOff>838200</xdr:colOff>
          <xdr:row>5</xdr:row>
          <xdr:rowOff>209550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5</xdr:row>
          <xdr:rowOff>276225</xdr:rowOff>
        </xdr:from>
        <xdr:to>
          <xdr:col>10</xdr:col>
          <xdr:colOff>838200</xdr:colOff>
          <xdr:row>7</xdr:row>
          <xdr:rowOff>180975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2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3</xdr:row>
          <xdr:rowOff>371475</xdr:rowOff>
        </xdr:from>
        <xdr:to>
          <xdr:col>11</xdr:col>
          <xdr:colOff>209550</xdr:colOff>
          <xdr:row>5</xdr:row>
          <xdr:rowOff>266700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3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5</xdr:row>
          <xdr:rowOff>333375</xdr:rowOff>
        </xdr:from>
        <xdr:to>
          <xdr:col>11</xdr:col>
          <xdr:colOff>209550</xdr:colOff>
          <xdr:row>7</xdr:row>
          <xdr:rowOff>238125</xdr:rowOff>
        </xdr:to>
        <xdr:sp macro="" textlink="">
          <xdr:nvSpPr>
            <xdr:cNvPr id="18449" name="Button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3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3</xdr:row>
          <xdr:rowOff>333375</xdr:rowOff>
        </xdr:from>
        <xdr:to>
          <xdr:col>11</xdr:col>
          <xdr:colOff>161925</xdr:colOff>
          <xdr:row>5</xdr:row>
          <xdr:rowOff>219075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4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5</xdr:row>
          <xdr:rowOff>285750</xdr:rowOff>
        </xdr:from>
        <xdr:to>
          <xdr:col>11</xdr:col>
          <xdr:colOff>161925</xdr:colOff>
          <xdr:row>7</xdr:row>
          <xdr:rowOff>190500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4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3</xdr:row>
          <xdr:rowOff>352425</xdr:rowOff>
        </xdr:from>
        <xdr:to>
          <xdr:col>11</xdr:col>
          <xdr:colOff>114300</xdr:colOff>
          <xdr:row>5</xdr:row>
          <xdr:rowOff>238125</xdr:rowOff>
        </xdr:to>
        <xdr:sp macro="" textlink="">
          <xdr:nvSpPr>
            <xdr:cNvPr id="20546" name="Button 66" hidden="1">
              <a:extLst>
                <a:ext uri="{63B3BB69-23CF-44E3-9099-C40C66FF867C}">
                  <a14:compatExt spid="_x0000_s20546"/>
                </a:ext>
                <a:ext uri="{FF2B5EF4-FFF2-40B4-BE49-F238E27FC236}">
                  <a16:creationId xmlns:a16="http://schemas.microsoft.com/office/drawing/2014/main" id="{00000000-0008-0000-0500-00004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133350</xdr:colOff>
          <xdr:row>5</xdr:row>
          <xdr:rowOff>304800</xdr:rowOff>
        </xdr:from>
        <xdr:to>
          <xdr:col>11</xdr:col>
          <xdr:colOff>114300</xdr:colOff>
          <xdr:row>7</xdr:row>
          <xdr:rowOff>209550</xdr:rowOff>
        </xdr:to>
        <xdr:sp macro="" textlink="">
          <xdr:nvSpPr>
            <xdr:cNvPr id="20547" name="Button 67" hidden="1">
              <a:extLst>
                <a:ext uri="{63B3BB69-23CF-44E3-9099-C40C66FF867C}">
                  <a14:compatExt spid="_x0000_s20547"/>
                </a:ext>
                <a:ext uri="{FF2B5EF4-FFF2-40B4-BE49-F238E27FC236}">
                  <a16:creationId xmlns:a16="http://schemas.microsoft.com/office/drawing/2014/main" id="{00000000-0008-0000-0500-00004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3</xdr:row>
          <xdr:rowOff>352425</xdr:rowOff>
        </xdr:from>
        <xdr:to>
          <xdr:col>11</xdr:col>
          <xdr:colOff>57150</xdr:colOff>
          <xdr:row>5</xdr:row>
          <xdr:rowOff>238125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6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5</xdr:row>
          <xdr:rowOff>304800</xdr:rowOff>
        </xdr:from>
        <xdr:to>
          <xdr:col>11</xdr:col>
          <xdr:colOff>57150</xdr:colOff>
          <xdr:row>7</xdr:row>
          <xdr:rowOff>209550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6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304800</xdr:rowOff>
        </xdr:from>
        <xdr:to>
          <xdr:col>11</xdr:col>
          <xdr:colOff>133350</xdr:colOff>
          <xdr:row>5</xdr:row>
          <xdr:rowOff>190500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7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5</xdr:row>
          <xdr:rowOff>257175</xdr:rowOff>
        </xdr:from>
        <xdr:to>
          <xdr:col>11</xdr:col>
          <xdr:colOff>133350</xdr:colOff>
          <xdr:row>7</xdr:row>
          <xdr:rowOff>161925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7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304800</xdr:rowOff>
        </xdr:from>
        <xdr:to>
          <xdr:col>11</xdr:col>
          <xdr:colOff>133350</xdr:colOff>
          <xdr:row>5</xdr:row>
          <xdr:rowOff>190500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5</xdr:row>
          <xdr:rowOff>257175</xdr:rowOff>
        </xdr:from>
        <xdr:to>
          <xdr:col>11</xdr:col>
          <xdr:colOff>133350</xdr:colOff>
          <xdr:row>7</xdr:row>
          <xdr:rowOff>161925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3</xdr:row>
          <xdr:rowOff>285750</xdr:rowOff>
        </xdr:from>
        <xdr:to>
          <xdr:col>11</xdr:col>
          <xdr:colOff>247650</xdr:colOff>
          <xdr:row>5</xdr:row>
          <xdr:rowOff>180975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9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266700</xdr:colOff>
          <xdr:row>5</xdr:row>
          <xdr:rowOff>238125</xdr:rowOff>
        </xdr:from>
        <xdr:to>
          <xdr:col>11</xdr:col>
          <xdr:colOff>247650</xdr:colOff>
          <xdr:row>7</xdr:row>
          <xdr:rowOff>152400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9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3</xdr:row>
          <xdr:rowOff>333375</xdr:rowOff>
        </xdr:from>
        <xdr:to>
          <xdr:col>11</xdr:col>
          <xdr:colOff>295275</xdr:colOff>
          <xdr:row>5</xdr:row>
          <xdr:rowOff>219075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A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314325</xdr:colOff>
          <xdr:row>5</xdr:row>
          <xdr:rowOff>285750</xdr:rowOff>
        </xdr:from>
        <xdr:to>
          <xdr:col>11</xdr:col>
          <xdr:colOff>295275</xdr:colOff>
          <xdr:row>7</xdr:row>
          <xdr:rowOff>190500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A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390525</xdr:colOff>
          <xdr:row>3</xdr:row>
          <xdr:rowOff>304800</xdr:rowOff>
        </xdr:from>
        <xdr:to>
          <xdr:col>11</xdr:col>
          <xdr:colOff>495300</xdr:colOff>
          <xdr:row>5</xdr:row>
          <xdr:rowOff>190500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B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5</xdr:row>
          <xdr:rowOff>257175</xdr:rowOff>
        </xdr:from>
        <xdr:to>
          <xdr:col>11</xdr:col>
          <xdr:colOff>495300</xdr:colOff>
          <xdr:row>7</xdr:row>
          <xdr:rowOff>161925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B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3</xdr:row>
          <xdr:rowOff>323850</xdr:rowOff>
        </xdr:from>
        <xdr:to>
          <xdr:col>11</xdr:col>
          <xdr:colOff>476250</xdr:colOff>
          <xdr:row>5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C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5</xdr:row>
          <xdr:rowOff>276225</xdr:rowOff>
        </xdr:from>
        <xdr:to>
          <xdr:col>11</xdr:col>
          <xdr:colOff>476250</xdr:colOff>
          <xdr:row>7</xdr:row>
          <xdr:rowOff>180975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C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3</xdr:row>
          <xdr:rowOff>352425</xdr:rowOff>
        </xdr:from>
        <xdr:to>
          <xdr:col>11</xdr:col>
          <xdr:colOff>295275</xdr:colOff>
          <xdr:row>5</xdr:row>
          <xdr:rowOff>238125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Sans"/>
                </a:rPr>
                <a:t>Add to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5</xdr:row>
          <xdr:rowOff>304800</xdr:rowOff>
        </xdr:from>
        <xdr:to>
          <xdr:col>11</xdr:col>
          <xdr:colOff>295275</xdr:colOff>
          <xdr:row>7</xdr:row>
          <xdr:rowOff>209550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Lucida Sans"/>
                </a:rPr>
                <a:t>Edit Calendar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8B0F0B-90D6-40E5-9FB3-2FAE7A275C29}" name="Table1" displayName="Table1" ref="A2:D3" insertRow="1" totalsRowShown="0" headerRowDxfId="0">
  <autoFilter ref="A2:D3" xr:uid="{FD8B0F0B-90D6-40E5-9FB3-2FAE7A275C29}"/>
  <tableColumns count="4">
    <tableColumn id="1" xr3:uid="{B9255FEF-3A9D-4FC4-8683-3A59652E15B0}" name="Task" dataDxfId="4"/>
    <tableColumn id="2" xr3:uid="{0EB9071B-7055-4449-82DF-DEDA8C4F84C1}" name="Time" dataDxfId="3"/>
    <tableColumn id="3" xr3:uid="{B40C5810-6A9D-4D29-98D1-6D8D6FDE301D}" name="Status" dataDxfId="2"/>
    <tableColumn id="4" xr3:uid="{D717F863-A3FF-4CD9-8F58-C0C81CF0C8E6}" name="Notes" dataDxfId="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Personal">
  <a:themeElements>
    <a:clrScheme name="Rainbow">
      <a:dk1>
        <a:srgbClr val="000000"/>
      </a:dk1>
      <a:lt1>
        <a:srgbClr val="FFFFFF"/>
      </a:lt1>
      <a:dk2>
        <a:srgbClr val="7E8083"/>
      </a:dk2>
      <a:lt2>
        <a:srgbClr val="E4E5E6"/>
      </a:lt2>
      <a:accent1>
        <a:srgbClr val="7AC143"/>
      </a:accent1>
      <a:accent2>
        <a:srgbClr val="00853E"/>
      </a:accent2>
      <a:accent3>
        <a:srgbClr val="00ADEE"/>
      </a:accent3>
      <a:accent4>
        <a:srgbClr val="FFC000"/>
      </a:accent4>
      <a:accent5>
        <a:srgbClr val="F47920"/>
      </a:accent5>
      <a:accent6>
        <a:srgbClr val="E51937"/>
      </a:accent6>
      <a:hlink>
        <a:srgbClr val="F47920"/>
      </a:hlink>
      <a:folHlink>
        <a:srgbClr val="954F72"/>
      </a:folHlink>
    </a:clrScheme>
    <a:fontScheme name="Custom 2">
      <a:majorFont>
        <a:latin typeface="Rockwell"/>
        <a:ea typeface=""/>
        <a:cs typeface=""/>
      </a:majorFont>
      <a:minorFont>
        <a:latin typeface="Lucida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J34"/>
  <sheetViews>
    <sheetView showGridLines="0" workbookViewId="0">
      <selection activeCell="E2" sqref="E2:F2"/>
    </sheetView>
  </sheetViews>
  <sheetFormatPr defaultRowHeight="14.25" x14ac:dyDescent="0.2"/>
  <cols>
    <col min="2" max="2" width="9.5546875" bestFit="1" customWidth="1"/>
  </cols>
  <sheetData>
    <row r="1" spans="1:10" ht="43.5" x14ac:dyDescent="0.2">
      <c r="A1" s="97" t="s">
        <v>10</v>
      </c>
      <c r="B1" s="97"/>
      <c r="C1" s="97"/>
      <c r="D1" s="97"/>
      <c r="E1" s="97"/>
      <c r="F1" s="97"/>
      <c r="G1" s="97"/>
      <c r="H1" s="97"/>
      <c r="I1" s="97"/>
      <c r="J1" s="90"/>
    </row>
    <row r="2" spans="1:10" x14ac:dyDescent="0.2">
      <c r="B2" s="91"/>
      <c r="C2" s="69"/>
      <c r="D2" s="68" t="s">
        <v>6</v>
      </c>
      <c r="E2" s="98">
        <v>44571</v>
      </c>
      <c r="F2" s="98"/>
      <c r="G2" s="69"/>
      <c r="H2" s="69"/>
      <c r="I2" s="69"/>
      <c r="J2" s="67"/>
    </row>
    <row r="3" spans="1:10" x14ac:dyDescent="0.2">
      <c r="A3" s="67"/>
      <c r="B3" s="67"/>
      <c r="C3" s="67"/>
      <c r="D3" s="67"/>
      <c r="E3" s="67"/>
      <c r="F3" s="67"/>
      <c r="G3" s="67"/>
      <c r="H3" s="67"/>
      <c r="I3" s="67"/>
      <c r="J3" s="67"/>
    </row>
    <row r="4" spans="1:10" x14ac:dyDescent="0.2">
      <c r="A4" s="67"/>
      <c r="B4" s="67"/>
      <c r="C4" s="67"/>
      <c r="D4" s="67"/>
      <c r="E4" s="67"/>
      <c r="F4" s="67"/>
      <c r="G4" s="67"/>
      <c r="H4" s="67"/>
      <c r="I4" s="67"/>
      <c r="J4" s="67"/>
    </row>
    <row r="5" spans="1:10" x14ac:dyDescent="0.2">
      <c r="A5" s="67"/>
      <c r="B5" s="67"/>
      <c r="C5" s="67"/>
      <c r="D5" s="67"/>
      <c r="E5" s="67"/>
      <c r="F5" s="67"/>
      <c r="G5" s="67"/>
      <c r="H5" s="67"/>
      <c r="I5" s="67"/>
      <c r="J5" s="67"/>
    </row>
    <row r="6" spans="1:10" x14ac:dyDescent="0.2">
      <c r="A6" s="67"/>
      <c r="B6" s="67"/>
      <c r="C6" s="67"/>
      <c r="D6" s="67"/>
      <c r="E6" s="67"/>
      <c r="F6" s="67"/>
      <c r="G6" s="67"/>
      <c r="H6" s="67"/>
      <c r="I6" s="67"/>
      <c r="J6" s="67"/>
    </row>
    <row r="7" spans="1:10" x14ac:dyDescent="0.2">
      <c r="A7" s="67"/>
      <c r="B7" s="67"/>
      <c r="C7" s="67"/>
      <c r="D7" s="67"/>
      <c r="E7" s="67"/>
      <c r="F7" s="67"/>
      <c r="G7" s="67"/>
      <c r="H7" s="67"/>
      <c r="I7" s="67"/>
      <c r="J7" s="67"/>
    </row>
    <row r="8" spans="1:10" x14ac:dyDescent="0.2">
      <c r="A8" s="67"/>
      <c r="B8" s="67"/>
      <c r="C8" s="67"/>
      <c r="D8" s="67"/>
      <c r="E8" s="67"/>
      <c r="F8" s="67"/>
      <c r="G8" s="67"/>
      <c r="H8" s="67"/>
      <c r="I8" s="67"/>
      <c r="J8" s="67"/>
    </row>
    <row r="9" spans="1:10" x14ac:dyDescent="0.2">
      <c r="A9" s="67"/>
      <c r="B9" s="67"/>
      <c r="C9" s="67"/>
      <c r="D9" s="67"/>
      <c r="E9" s="67"/>
      <c r="F9" s="67"/>
      <c r="G9" s="67"/>
      <c r="H9" s="67"/>
      <c r="I9" s="67"/>
      <c r="J9" s="67"/>
    </row>
    <row r="10" spans="1:10" x14ac:dyDescent="0.2">
      <c r="A10" s="67"/>
      <c r="B10" s="67"/>
      <c r="C10" s="67"/>
      <c r="D10" s="67"/>
      <c r="E10" s="67"/>
      <c r="F10" s="67"/>
      <c r="G10" s="67"/>
      <c r="H10" s="67"/>
      <c r="I10" s="67"/>
      <c r="J10" s="67"/>
    </row>
    <row r="11" spans="1:10" x14ac:dyDescent="0.2">
      <c r="A11" s="67"/>
      <c r="B11" s="67"/>
      <c r="C11" s="67"/>
      <c r="D11" s="67"/>
      <c r="E11" s="67"/>
      <c r="F11" s="67"/>
      <c r="G11" s="67"/>
      <c r="H11" s="67"/>
      <c r="I11" s="67"/>
      <c r="J11" s="67"/>
    </row>
    <row r="12" spans="1:10" x14ac:dyDescent="0.2">
      <c r="A12" s="67"/>
      <c r="B12" s="67"/>
      <c r="C12" s="67"/>
      <c r="D12" s="67"/>
      <c r="E12" s="67"/>
      <c r="F12" s="67"/>
      <c r="G12" s="67"/>
      <c r="H12" s="67"/>
      <c r="I12" s="67"/>
      <c r="J12" s="67"/>
    </row>
    <row r="13" spans="1:10" x14ac:dyDescent="0.2">
      <c r="A13" s="67"/>
      <c r="B13" s="67"/>
      <c r="C13" s="67"/>
      <c r="D13" s="67"/>
      <c r="E13" s="67"/>
      <c r="F13" s="67"/>
      <c r="G13" s="67"/>
      <c r="H13" s="67"/>
      <c r="I13" s="67"/>
      <c r="J13" s="67"/>
    </row>
    <row r="14" spans="1:10" x14ac:dyDescent="0.2">
      <c r="A14" s="67"/>
      <c r="B14" s="67"/>
      <c r="C14" s="67"/>
      <c r="D14" s="67"/>
      <c r="E14" s="67"/>
      <c r="F14" s="67"/>
      <c r="G14" s="67"/>
      <c r="H14" s="67"/>
      <c r="I14" s="67"/>
      <c r="J14" s="67"/>
    </row>
    <row r="15" spans="1:10" x14ac:dyDescent="0.2">
      <c r="A15" s="67"/>
      <c r="B15" s="67"/>
      <c r="C15" s="67"/>
      <c r="D15" s="67"/>
      <c r="E15" s="67"/>
      <c r="F15" s="67"/>
      <c r="G15" s="67"/>
      <c r="H15" s="67"/>
      <c r="I15" s="67"/>
      <c r="J15" s="67"/>
    </row>
    <row r="16" spans="1:10" x14ac:dyDescent="0.2">
      <c r="A16" s="67"/>
      <c r="B16" s="67"/>
      <c r="C16" s="67"/>
      <c r="D16" s="67"/>
      <c r="E16" s="67"/>
      <c r="F16" s="67"/>
      <c r="G16" s="67"/>
      <c r="H16" s="67"/>
      <c r="I16" s="67"/>
      <c r="J16" s="67"/>
    </row>
    <row r="17" spans="1:10" x14ac:dyDescent="0.2">
      <c r="A17" s="67"/>
      <c r="B17" s="67"/>
      <c r="C17" s="67"/>
      <c r="D17" s="67"/>
      <c r="E17" s="67"/>
      <c r="F17" s="67"/>
      <c r="G17" s="67"/>
      <c r="H17" s="67"/>
      <c r="I17" s="67"/>
      <c r="J17" s="67"/>
    </row>
    <row r="18" spans="1:10" x14ac:dyDescent="0.2">
      <c r="A18" s="67"/>
      <c r="B18" s="67"/>
      <c r="C18" s="67"/>
      <c r="D18" s="67"/>
      <c r="E18" s="67"/>
      <c r="F18" s="67"/>
      <c r="G18" s="67"/>
      <c r="H18" s="67"/>
      <c r="I18" s="67"/>
      <c r="J18" s="67"/>
    </row>
    <row r="19" spans="1:10" x14ac:dyDescent="0.2">
      <c r="A19" s="67"/>
      <c r="B19" s="67"/>
      <c r="C19" s="67"/>
      <c r="D19" s="67"/>
      <c r="E19" s="67"/>
      <c r="F19" s="67"/>
      <c r="G19" s="67"/>
      <c r="H19" s="67"/>
      <c r="I19" s="67"/>
      <c r="J19" s="67"/>
    </row>
    <row r="20" spans="1:10" x14ac:dyDescent="0.2">
      <c r="A20" s="67"/>
      <c r="B20" s="67"/>
      <c r="C20" s="67"/>
      <c r="D20" s="67"/>
      <c r="E20" s="67"/>
      <c r="F20" s="67"/>
      <c r="G20" s="67"/>
      <c r="H20" s="67"/>
      <c r="I20" s="67"/>
      <c r="J20" s="67"/>
    </row>
    <row r="21" spans="1:10" x14ac:dyDescent="0.2">
      <c r="A21" s="67"/>
      <c r="B21" s="67"/>
      <c r="C21" s="67"/>
      <c r="D21" s="67"/>
      <c r="E21" s="67"/>
      <c r="F21" s="67"/>
      <c r="G21" s="67"/>
      <c r="H21" s="67"/>
      <c r="I21" s="67"/>
      <c r="J21" s="67"/>
    </row>
    <row r="22" spans="1:10" x14ac:dyDescent="0.2">
      <c r="A22" s="67"/>
      <c r="B22" s="67"/>
      <c r="C22" s="67"/>
      <c r="D22" s="67"/>
      <c r="E22" s="67"/>
      <c r="F22" s="67"/>
      <c r="G22" s="67"/>
      <c r="H22" s="67"/>
      <c r="I22" s="67"/>
      <c r="J22" s="67"/>
    </row>
    <row r="23" spans="1:10" x14ac:dyDescent="0.2">
      <c r="A23" s="67"/>
      <c r="B23" s="67"/>
      <c r="C23" s="67"/>
      <c r="D23" s="67"/>
      <c r="E23" s="67"/>
      <c r="F23" s="67"/>
      <c r="G23" s="67"/>
      <c r="H23" s="67"/>
      <c r="I23" s="67"/>
      <c r="J23" s="67"/>
    </row>
    <row r="24" spans="1:10" x14ac:dyDescent="0.2">
      <c r="A24" s="67"/>
      <c r="B24" s="67"/>
      <c r="C24" s="67"/>
      <c r="D24" s="67"/>
      <c r="E24" s="67"/>
      <c r="F24" s="67"/>
      <c r="G24" s="67"/>
      <c r="H24" s="67"/>
      <c r="I24" s="67"/>
      <c r="J24" s="67"/>
    </row>
    <row r="25" spans="1:10" x14ac:dyDescent="0.2">
      <c r="A25" s="67"/>
      <c r="B25" s="67"/>
      <c r="C25" s="67"/>
      <c r="D25" s="67"/>
      <c r="E25" s="67"/>
      <c r="F25" s="67"/>
      <c r="G25" s="67"/>
      <c r="H25" s="67"/>
      <c r="I25" s="67"/>
      <c r="J25" s="67"/>
    </row>
    <row r="26" spans="1:10" x14ac:dyDescent="0.2">
      <c r="A26" s="67"/>
      <c r="B26" s="67"/>
      <c r="C26" s="67"/>
      <c r="D26" s="67"/>
      <c r="E26" s="67"/>
      <c r="F26" s="67"/>
      <c r="G26" s="67"/>
      <c r="H26" s="67"/>
      <c r="I26" s="67"/>
      <c r="J26" s="67"/>
    </row>
    <row r="27" spans="1:10" x14ac:dyDescent="0.2">
      <c r="A27" s="67"/>
      <c r="B27" s="67"/>
      <c r="C27" s="67"/>
      <c r="D27" s="67"/>
      <c r="E27" s="67"/>
      <c r="F27" s="67"/>
      <c r="G27" s="67"/>
      <c r="H27" s="67"/>
      <c r="I27" s="67"/>
      <c r="J27" s="67"/>
    </row>
    <row r="28" spans="1:10" x14ac:dyDescent="0.2">
      <c r="A28" s="67"/>
      <c r="B28" s="67"/>
      <c r="C28" s="67"/>
      <c r="D28" s="67"/>
      <c r="E28" s="67"/>
      <c r="F28" s="67"/>
      <c r="G28" s="67"/>
      <c r="H28" s="67"/>
      <c r="I28" s="67"/>
      <c r="J28" s="67"/>
    </row>
    <row r="29" spans="1:10" x14ac:dyDescent="0.2">
      <c r="A29" s="67"/>
      <c r="B29" s="67"/>
      <c r="C29" s="67"/>
      <c r="D29" s="67"/>
      <c r="E29" s="67"/>
      <c r="F29" s="67"/>
      <c r="G29" s="67"/>
      <c r="H29" s="67"/>
      <c r="I29" s="67"/>
      <c r="J29" s="67"/>
    </row>
    <row r="30" spans="1:10" x14ac:dyDescent="0.2">
      <c r="A30" s="67"/>
      <c r="B30" s="67"/>
      <c r="C30" s="67"/>
      <c r="D30" s="67"/>
      <c r="E30" s="67"/>
      <c r="F30" s="67"/>
      <c r="G30" s="67"/>
      <c r="H30" s="67"/>
      <c r="I30" s="67"/>
      <c r="J30" s="67"/>
    </row>
    <row r="31" spans="1:10" x14ac:dyDescent="0.2">
      <c r="A31" s="67"/>
      <c r="B31" s="67"/>
      <c r="C31" s="67"/>
      <c r="D31" s="67"/>
      <c r="E31" s="67"/>
      <c r="F31" s="67"/>
      <c r="G31" s="67"/>
      <c r="H31" s="67"/>
      <c r="I31" s="67"/>
      <c r="J31" s="67"/>
    </row>
    <row r="32" spans="1:10" x14ac:dyDescent="0.2">
      <c r="A32" s="67"/>
      <c r="B32" s="67"/>
      <c r="C32" s="67"/>
      <c r="D32" s="67"/>
      <c r="E32" s="67"/>
      <c r="F32" s="67"/>
      <c r="G32" s="67"/>
      <c r="H32" s="67"/>
      <c r="I32" s="67"/>
      <c r="J32" s="67"/>
    </row>
    <row r="33" spans="1:10" x14ac:dyDescent="0.2">
      <c r="A33" s="67"/>
      <c r="B33" s="67"/>
      <c r="C33" s="67"/>
      <c r="D33" s="67"/>
      <c r="E33" s="67"/>
      <c r="F33" s="67"/>
      <c r="G33" s="67"/>
      <c r="H33" s="67"/>
      <c r="I33" s="67"/>
      <c r="J33" s="67"/>
    </row>
    <row r="34" spans="1:10" x14ac:dyDescent="0.2">
      <c r="A34" s="67"/>
      <c r="B34" s="67"/>
      <c r="C34" s="67"/>
      <c r="D34" s="67"/>
      <c r="E34" s="67"/>
      <c r="F34" s="67"/>
      <c r="G34" s="67"/>
      <c r="H34" s="67"/>
      <c r="I34" s="67"/>
      <c r="J34" s="67"/>
    </row>
  </sheetData>
  <mergeCells count="2">
    <mergeCell ref="A1:I1"/>
    <mergeCell ref="E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ButtonMF_Click">
                <anchor moveWithCells="1" sizeWithCells="1">
                  <from>
                    <xdr:col>0</xdr:col>
                    <xdr:colOff>333375</xdr:colOff>
                    <xdr:row>3</xdr:row>
                    <xdr:rowOff>28575</xdr:rowOff>
                  </from>
                  <to>
                    <xdr:col>2</xdr:col>
                    <xdr:colOff>476250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DT_Click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2</xdr:col>
                    <xdr:colOff>476250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Non_Click">
                <anchor moveWithCells="1" sizeWithCells="1">
                  <from>
                    <xdr:col>0</xdr:col>
                    <xdr:colOff>333375</xdr:colOff>
                    <xdr:row>17</xdr:row>
                    <xdr:rowOff>57150</xdr:rowOff>
                  </from>
                  <to>
                    <xdr:col>2</xdr:col>
                    <xdr:colOff>476250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Cycle_Click">
                <anchor moveWithCells="1" sizeWithCells="1">
                  <from>
                    <xdr:col>5</xdr:col>
                    <xdr:colOff>438150</xdr:colOff>
                    <xdr:row>3</xdr:row>
                    <xdr:rowOff>28575</xdr:rowOff>
                  </from>
                  <to>
                    <xdr:col>7</xdr:col>
                    <xdr:colOff>638175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ButtonBFMF_Click">
                <anchor moveWithCells="1" sizeWithCells="1">
                  <from>
                    <xdr:col>2</xdr:col>
                    <xdr:colOff>733425</xdr:colOff>
                    <xdr:row>3</xdr:row>
                    <xdr:rowOff>28575</xdr:rowOff>
                  </from>
                  <to>
                    <xdr:col>5</xdr:col>
                    <xdr:colOff>171450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ButtonBFDT_Click">
                <anchor moveWithCells="1" sizeWithCells="1">
                  <from>
                    <xdr:col>2</xdr:col>
                    <xdr:colOff>733425</xdr:colOff>
                    <xdr:row>7</xdr:row>
                    <xdr:rowOff>161925</xdr:rowOff>
                  </from>
                  <to>
                    <xdr:col>5</xdr:col>
                    <xdr:colOff>171450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Button 8">
              <controlPr defaultSize="0" print="0" autoFill="0" autoPict="0" macro="[0]!ButtonDTt_Click">
                <anchor moveWithCells="1" sizeWithCells="1">
                  <from>
                    <xdr:col>0</xdr:col>
                    <xdr:colOff>333375</xdr:colOff>
                    <xdr:row>12</xdr:row>
                    <xdr:rowOff>104775</xdr:rowOff>
                  </from>
                  <to>
                    <xdr:col>2</xdr:col>
                    <xdr:colOff>476250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Button 9">
              <controlPr defaultSize="0" print="0" autoFill="0" autoPict="0" macro="[0]!ButtonBlank_Click">
                <anchor moveWithCells="1" sizeWithCells="1">
                  <from>
                    <xdr:col>5</xdr:col>
                    <xdr:colOff>428625</xdr:colOff>
                    <xdr:row>7</xdr:row>
                    <xdr:rowOff>161925</xdr:rowOff>
                  </from>
                  <to>
                    <xdr:col>7</xdr:col>
                    <xdr:colOff>628650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X123"/>
  <sheetViews>
    <sheetView showGridLines="0" zoomScale="115" zoomScaleNormal="100" workbookViewId="0">
      <selection activeCell="F1" sqref="F1"/>
    </sheetView>
  </sheetViews>
  <sheetFormatPr defaultRowHeight="14.25" x14ac:dyDescent="0.2"/>
  <cols>
    <col min="1" max="1" width="35" style="85" customWidth="1"/>
    <col min="2" max="2" width="10.33203125" style="83" customWidth="1"/>
    <col min="3" max="3" width="17.44140625" style="87" customWidth="1"/>
    <col min="4" max="4" width="29" style="83" customWidth="1"/>
    <col min="5" max="5" width="14.33203125" customWidth="1"/>
    <col min="6" max="6" width="11" customWidth="1"/>
    <col min="50" max="50" width="10.88671875" bestFit="1" customWidth="1"/>
  </cols>
  <sheetData>
    <row r="1" spans="1:50" ht="43.5" x14ac:dyDescent="0.2">
      <c r="A1" s="99" t="s">
        <v>9</v>
      </c>
      <c r="B1" s="99"/>
      <c r="C1" s="99"/>
      <c r="D1" s="99"/>
      <c r="E1" s="92" t="s">
        <v>6</v>
      </c>
      <c r="F1" s="86">
        <v>44571</v>
      </c>
    </row>
    <row r="2" spans="1:50" ht="23.25" customHeight="1" x14ac:dyDescent="0.2">
      <c r="A2" s="83" t="s">
        <v>5</v>
      </c>
      <c r="B2" s="83" t="s">
        <v>8</v>
      </c>
      <c r="C2" s="83" t="s">
        <v>7</v>
      </c>
      <c r="D2" s="83" t="s">
        <v>1</v>
      </c>
    </row>
    <row r="3" spans="1:50" s="95" customFormat="1" ht="21.4" customHeight="1" x14ac:dyDescent="0.2">
      <c r="A3" s="84"/>
      <c r="B3" s="83"/>
      <c r="C3" s="83"/>
      <c r="D3" s="88"/>
      <c r="AX3" s="95" t="s">
        <v>12</v>
      </c>
    </row>
    <row r="4" spans="1:50" s="96" customFormat="1" ht="21.4" customHeight="1" x14ac:dyDescent="0.2">
      <c r="A4" s="84"/>
      <c r="B4" s="83"/>
      <c r="C4" s="83"/>
      <c r="D4" s="88"/>
      <c r="AX4" s="96" t="s">
        <v>12</v>
      </c>
    </row>
    <row r="5" spans="1:50" s="95" customFormat="1" ht="21.4" customHeight="1" x14ac:dyDescent="0.2">
      <c r="A5" s="84"/>
      <c r="B5" s="83"/>
      <c r="C5" s="83"/>
      <c r="D5" s="88"/>
      <c r="AX5" s="95" t="s">
        <v>12</v>
      </c>
    </row>
    <row r="6" spans="1:50" s="95" customFormat="1" ht="21.4" customHeight="1" x14ac:dyDescent="0.2">
      <c r="A6" s="84"/>
      <c r="B6" s="83"/>
      <c r="C6" s="83"/>
      <c r="D6" s="88"/>
      <c r="AX6" s="95" t="s">
        <v>12</v>
      </c>
    </row>
    <row r="7" spans="1:50" s="95" customFormat="1" ht="21.4" customHeight="1" x14ac:dyDescent="0.2">
      <c r="A7" s="84"/>
      <c r="B7" s="83"/>
      <c r="C7" s="83"/>
      <c r="D7" s="88"/>
      <c r="AX7" s="95" t="s">
        <v>12</v>
      </c>
    </row>
    <row r="8" spans="1:50" s="95" customFormat="1" ht="21.4" customHeight="1" x14ac:dyDescent="0.2">
      <c r="A8" s="84"/>
      <c r="B8" s="83"/>
      <c r="C8" s="83"/>
      <c r="D8" s="88"/>
      <c r="AX8" s="95" t="s">
        <v>12</v>
      </c>
    </row>
    <row r="9" spans="1:50" s="95" customFormat="1" ht="21.4" customHeight="1" x14ac:dyDescent="0.2">
      <c r="A9" s="84"/>
      <c r="B9" s="83"/>
      <c r="C9" s="83"/>
      <c r="D9" s="88"/>
      <c r="AX9" s="95" t="s">
        <v>12</v>
      </c>
    </row>
    <row r="10" spans="1:50" s="95" customFormat="1" ht="21.4" customHeight="1" x14ac:dyDescent="0.2">
      <c r="A10" s="84"/>
      <c r="B10" s="83"/>
      <c r="C10" s="83"/>
      <c r="D10" s="88"/>
      <c r="AX10" s="95" t="s">
        <v>12</v>
      </c>
    </row>
    <row r="11" spans="1:50" s="95" customFormat="1" ht="21.4" customHeight="1" x14ac:dyDescent="0.2">
      <c r="A11" s="84"/>
      <c r="B11" s="83"/>
      <c r="C11" s="83"/>
      <c r="D11" s="88"/>
      <c r="AX11" s="95" t="s">
        <v>12</v>
      </c>
    </row>
    <row r="12" spans="1:50" s="95" customFormat="1" ht="21.4" customHeight="1" x14ac:dyDescent="0.2">
      <c r="A12" s="84"/>
      <c r="B12" s="83"/>
      <c r="C12" s="83"/>
      <c r="D12" s="88"/>
      <c r="AX12" s="95" t="s">
        <v>12</v>
      </c>
    </row>
    <row r="13" spans="1:50" s="95" customFormat="1" ht="21.4" customHeight="1" x14ac:dyDescent="0.2">
      <c r="A13" s="84"/>
      <c r="B13" s="83"/>
      <c r="C13" s="83"/>
      <c r="D13" s="88"/>
      <c r="AX13" s="95" t="s">
        <v>12</v>
      </c>
    </row>
    <row r="14" spans="1:50" s="95" customFormat="1" ht="21.4" customHeight="1" x14ac:dyDescent="0.2">
      <c r="A14" s="84"/>
      <c r="B14" s="83"/>
      <c r="C14" s="83"/>
      <c r="D14" s="88"/>
    </row>
    <row r="15" spans="1:50" s="95" customFormat="1" ht="21.4" customHeight="1" x14ac:dyDescent="0.2">
      <c r="A15" s="84"/>
      <c r="B15" s="83"/>
      <c r="C15" s="83"/>
      <c r="D15" s="88"/>
    </row>
    <row r="16" spans="1:50" s="95" customFormat="1" ht="21.4" customHeight="1" x14ac:dyDescent="0.2">
      <c r="A16" s="84"/>
      <c r="B16" s="83"/>
      <c r="C16" s="83"/>
      <c r="D16" s="88"/>
    </row>
    <row r="17" spans="1:4" s="95" customFormat="1" ht="21.4" customHeight="1" x14ac:dyDescent="0.2">
      <c r="A17" s="84"/>
      <c r="B17" s="83"/>
      <c r="C17" s="83"/>
      <c r="D17" s="88"/>
    </row>
    <row r="18" spans="1:4" s="95" customFormat="1" ht="21.4" customHeight="1" x14ac:dyDescent="0.2">
      <c r="A18" s="84"/>
      <c r="B18" s="83"/>
      <c r="C18" s="83"/>
      <c r="D18" s="88"/>
    </row>
    <row r="19" spans="1:4" s="95" customFormat="1" ht="21.4" customHeight="1" x14ac:dyDescent="0.2">
      <c r="A19" s="84"/>
      <c r="B19" s="83"/>
      <c r="C19" s="83"/>
      <c r="D19" s="88"/>
    </row>
    <row r="20" spans="1:4" s="95" customFormat="1" ht="21.4" customHeight="1" x14ac:dyDescent="0.2">
      <c r="A20" s="84"/>
      <c r="B20" s="83"/>
      <c r="C20" s="83"/>
      <c r="D20" s="88"/>
    </row>
    <row r="21" spans="1:4" s="95" customFormat="1" ht="21.4" customHeight="1" x14ac:dyDescent="0.2">
      <c r="A21" s="84"/>
      <c r="B21" s="83"/>
      <c r="C21" s="83"/>
      <c r="D21" s="88"/>
    </row>
    <row r="22" spans="1:4" s="95" customFormat="1" ht="21.4" customHeight="1" x14ac:dyDescent="0.2">
      <c r="A22" s="84"/>
      <c r="B22" s="83"/>
      <c r="C22" s="83"/>
      <c r="D22" s="88"/>
    </row>
    <row r="23" spans="1:4" s="95" customFormat="1" ht="21.4" customHeight="1" x14ac:dyDescent="0.2">
      <c r="A23" s="84"/>
      <c r="B23" s="83"/>
      <c r="C23" s="83"/>
      <c r="D23" s="88"/>
    </row>
    <row r="24" spans="1:4" s="95" customFormat="1" ht="21.4" customHeight="1" x14ac:dyDescent="0.2">
      <c r="A24" s="84"/>
      <c r="B24" s="83"/>
      <c r="C24" s="83"/>
      <c r="D24" s="88"/>
    </row>
    <row r="25" spans="1:4" s="95" customFormat="1" ht="21.4" customHeight="1" x14ac:dyDescent="0.2">
      <c r="A25" s="84"/>
      <c r="B25" s="83"/>
      <c r="C25" s="83"/>
      <c r="D25" s="88"/>
    </row>
    <row r="26" spans="1:4" s="95" customFormat="1" ht="21.4" customHeight="1" x14ac:dyDescent="0.2">
      <c r="A26" s="84"/>
      <c r="B26" s="83"/>
      <c r="C26" s="83"/>
      <c r="D26" s="88"/>
    </row>
    <row r="27" spans="1:4" s="95" customFormat="1" ht="21.4" customHeight="1" x14ac:dyDescent="0.2">
      <c r="A27" s="84"/>
      <c r="B27" s="83"/>
      <c r="C27" s="83"/>
      <c r="D27" s="88"/>
    </row>
    <row r="28" spans="1:4" s="95" customFormat="1" ht="21.4" customHeight="1" x14ac:dyDescent="0.2">
      <c r="A28" s="84"/>
      <c r="B28" s="83"/>
      <c r="C28" s="83"/>
      <c r="D28" s="88"/>
    </row>
    <row r="29" spans="1:4" s="95" customFormat="1" ht="21.4" customHeight="1" x14ac:dyDescent="0.2">
      <c r="A29" s="84"/>
      <c r="B29" s="83"/>
      <c r="C29" s="83"/>
      <c r="D29" s="88"/>
    </row>
    <row r="30" spans="1:4" s="95" customFormat="1" ht="21.4" customHeight="1" x14ac:dyDescent="0.2">
      <c r="A30" s="84"/>
      <c r="B30" s="83"/>
      <c r="C30" s="83"/>
      <c r="D30" s="88"/>
    </row>
    <row r="31" spans="1:4" ht="21.4" customHeight="1" x14ac:dyDescent="0.2">
      <c r="A31" s="84"/>
      <c r="C31" s="83"/>
      <c r="D31" s="88"/>
    </row>
    <row r="32" spans="1:4" ht="21.4" customHeight="1" x14ac:dyDescent="0.2">
      <c r="A32" s="84"/>
      <c r="C32" s="83"/>
      <c r="D32" s="88"/>
    </row>
    <row r="33" spans="1:7" ht="21.4" customHeight="1" x14ac:dyDescent="0.2">
      <c r="A33" s="84"/>
      <c r="C33" s="83"/>
      <c r="D33" s="88"/>
    </row>
    <row r="34" spans="1:7" ht="21.4" customHeight="1" x14ac:dyDescent="0.2">
      <c r="A34" s="84"/>
      <c r="C34" s="83"/>
      <c r="D34" s="88"/>
    </row>
    <row r="35" spans="1:7" ht="21.4" customHeight="1" x14ac:dyDescent="0.2">
      <c r="A35" s="84"/>
      <c r="C35" s="83"/>
      <c r="D35" s="88"/>
      <c r="G35" s="83"/>
    </row>
    <row r="36" spans="1:7" ht="21.4" customHeight="1" x14ac:dyDescent="0.2">
      <c r="A36" s="84"/>
      <c r="C36" s="83"/>
      <c r="D36" s="88"/>
      <c r="G36" s="83"/>
    </row>
    <row r="37" spans="1:7" ht="21.4" customHeight="1" x14ac:dyDescent="0.2">
      <c r="A37" s="84"/>
      <c r="C37" s="83"/>
      <c r="D37" s="88"/>
      <c r="G37" s="83"/>
    </row>
    <row r="38" spans="1:7" ht="21.4" customHeight="1" x14ac:dyDescent="0.2">
      <c r="A38" s="84"/>
      <c r="C38" s="83"/>
      <c r="D38" s="88"/>
      <c r="G38" s="83"/>
    </row>
    <row r="39" spans="1:7" ht="21.4" customHeight="1" x14ac:dyDescent="0.2">
      <c r="A39" s="84"/>
      <c r="C39" s="83"/>
      <c r="D39" s="88"/>
      <c r="G39" s="83"/>
    </row>
    <row r="40" spans="1:7" ht="21.4" customHeight="1" x14ac:dyDescent="0.2">
      <c r="A40" s="84"/>
      <c r="C40" s="83"/>
      <c r="D40" s="88"/>
      <c r="G40" s="83"/>
    </row>
    <row r="41" spans="1:7" ht="21.4" customHeight="1" x14ac:dyDescent="0.2">
      <c r="A41" s="84"/>
      <c r="C41" s="83"/>
      <c r="D41" s="88"/>
      <c r="G41" s="83"/>
    </row>
    <row r="42" spans="1:7" ht="21.4" customHeight="1" x14ac:dyDescent="0.2">
      <c r="A42" s="84"/>
      <c r="C42" s="83"/>
      <c r="D42" s="88"/>
      <c r="G42" s="83"/>
    </row>
    <row r="43" spans="1:7" ht="21.4" customHeight="1" x14ac:dyDescent="0.2">
      <c r="A43" s="84"/>
      <c r="C43" s="83"/>
      <c r="D43" s="88"/>
      <c r="G43" s="83"/>
    </row>
    <row r="44" spans="1:7" ht="21.4" customHeight="1" x14ac:dyDescent="0.2">
      <c r="A44" s="84"/>
      <c r="C44" s="83"/>
      <c r="D44" s="88"/>
      <c r="G44" s="83"/>
    </row>
    <row r="45" spans="1:7" ht="21.4" customHeight="1" x14ac:dyDescent="0.2">
      <c r="A45" s="84"/>
      <c r="C45" s="83"/>
      <c r="D45" s="88"/>
      <c r="G45" s="83"/>
    </row>
    <row r="46" spans="1:7" ht="21.4" customHeight="1" x14ac:dyDescent="0.2">
      <c r="A46" s="84"/>
      <c r="C46" s="83"/>
      <c r="D46" s="88"/>
      <c r="G46" s="83"/>
    </row>
    <row r="47" spans="1:7" ht="21.4" customHeight="1" x14ac:dyDescent="0.2">
      <c r="A47" s="84"/>
      <c r="C47" s="83"/>
      <c r="D47" s="88"/>
      <c r="G47" s="83"/>
    </row>
    <row r="48" spans="1:7" ht="21.4" customHeight="1" x14ac:dyDescent="0.2">
      <c r="A48" s="84"/>
      <c r="C48" s="83"/>
      <c r="D48" s="88"/>
      <c r="G48" s="83"/>
    </row>
    <row r="49" spans="1:50" ht="21.4" customHeight="1" x14ac:dyDescent="0.2">
      <c r="A49" s="84"/>
      <c r="C49" s="83"/>
      <c r="D49" s="88"/>
      <c r="G49" s="83"/>
    </row>
    <row r="50" spans="1:50" ht="21.4" customHeight="1" x14ac:dyDescent="0.2">
      <c r="A50" s="84"/>
      <c r="C50" s="83"/>
      <c r="D50" s="88"/>
      <c r="G50" s="83"/>
      <c r="AX50" t="str">
        <f>AX3&amp;AX4&amp;AX5&amp;AX6&amp;AX7&amp;AX8&amp;AX9&amp;AX10&amp;AX11&amp;AX12&amp;AX13&amp;AX14&amp;AX15&amp;AX16&amp;AX17&amp;AX18&amp;AX19&amp;AX20&amp;AX21&amp;AX22&amp;AX23&amp;AX24&amp;AX25&amp;AX26&amp;AX27&amp;AX28&amp;AX29&amp;AX30&amp;AX31&amp;AX32&amp;AX33&amp;AX34&amp;AX35&amp;AX36&amp;AX37&amp;AX38&amp;AX39&amp;AX340</f>
        <v>CCCCCCCCCCC</v>
      </c>
    </row>
    <row r="51" spans="1:50" ht="21.4" customHeight="1" x14ac:dyDescent="0.2">
      <c r="A51" s="84"/>
      <c r="C51" s="83"/>
      <c r="D51" s="88"/>
      <c r="G51" s="83"/>
      <c r="AX51" s="91">
        <v>44571</v>
      </c>
    </row>
    <row r="52" spans="1:50" ht="21.4" customHeight="1" x14ac:dyDescent="0.2">
      <c r="A52" s="84"/>
      <c r="C52" s="83"/>
      <c r="D52" s="88"/>
      <c r="G52" s="83"/>
    </row>
    <row r="53" spans="1:50" ht="21.4" customHeight="1" x14ac:dyDescent="0.2">
      <c r="A53" s="84"/>
      <c r="C53" s="83"/>
      <c r="D53" s="88"/>
      <c r="G53" s="83"/>
    </row>
    <row r="54" spans="1:50" ht="21.4" customHeight="1" x14ac:dyDescent="0.2">
      <c r="A54" s="84"/>
      <c r="C54" s="83"/>
      <c r="D54" s="88"/>
      <c r="G54" s="83"/>
    </row>
    <row r="55" spans="1:50" ht="21.4" customHeight="1" x14ac:dyDescent="0.2">
      <c r="A55" s="84"/>
      <c r="C55" s="83"/>
      <c r="D55" s="88"/>
      <c r="G55" s="83"/>
    </row>
    <row r="56" spans="1:50" ht="21.4" customHeight="1" x14ac:dyDescent="0.2">
      <c r="A56" s="84"/>
      <c r="C56" s="83"/>
      <c r="D56" s="88"/>
      <c r="G56" s="83"/>
    </row>
    <row r="57" spans="1:50" ht="21.4" customHeight="1" x14ac:dyDescent="0.2">
      <c r="A57" s="84"/>
      <c r="C57" s="83"/>
      <c r="D57" s="88"/>
      <c r="G57" s="83"/>
    </row>
    <row r="58" spans="1:50" ht="21.4" customHeight="1" x14ac:dyDescent="0.2">
      <c r="A58" s="84"/>
      <c r="C58" s="83"/>
      <c r="D58" s="88"/>
      <c r="G58" s="83"/>
    </row>
    <row r="59" spans="1:50" ht="21.4" customHeight="1" x14ac:dyDescent="0.2">
      <c r="A59" s="84"/>
      <c r="C59" s="83"/>
      <c r="D59" s="88"/>
      <c r="G59" s="83"/>
    </row>
    <row r="60" spans="1:50" ht="21.4" customHeight="1" x14ac:dyDescent="0.2">
      <c r="A60" s="84"/>
      <c r="C60" s="83"/>
      <c r="D60" s="88"/>
      <c r="G60" s="83"/>
    </row>
    <row r="61" spans="1:50" ht="21.4" customHeight="1" x14ac:dyDescent="0.2">
      <c r="A61" s="84"/>
      <c r="C61" s="83"/>
      <c r="D61" s="88"/>
      <c r="G61" s="83"/>
    </row>
    <row r="62" spans="1:50" ht="21.4" customHeight="1" x14ac:dyDescent="0.2">
      <c r="A62" s="84"/>
      <c r="C62" s="83"/>
      <c r="D62" s="88"/>
      <c r="G62" s="83"/>
    </row>
    <row r="63" spans="1:50" ht="21.4" customHeight="1" x14ac:dyDescent="0.2">
      <c r="A63" s="84"/>
      <c r="C63" s="83"/>
      <c r="D63" s="88"/>
      <c r="G63" s="83"/>
    </row>
    <row r="64" spans="1:50" ht="21.4" customHeight="1" x14ac:dyDescent="0.2">
      <c r="A64" s="84"/>
      <c r="C64" s="83"/>
      <c r="D64" s="88"/>
      <c r="G64" s="83"/>
    </row>
    <row r="65" spans="1:7" ht="21.4" customHeight="1" x14ac:dyDescent="0.2">
      <c r="A65" s="84"/>
      <c r="C65" s="83"/>
      <c r="D65" s="88"/>
      <c r="G65" s="83"/>
    </row>
    <row r="66" spans="1:7" ht="21.4" customHeight="1" x14ac:dyDescent="0.2">
      <c r="A66" s="84"/>
      <c r="C66" s="83"/>
      <c r="D66" s="88"/>
      <c r="G66" s="83"/>
    </row>
    <row r="67" spans="1:7" ht="21.4" customHeight="1" x14ac:dyDescent="0.2">
      <c r="A67" s="84"/>
      <c r="C67" s="83"/>
      <c r="D67" s="88"/>
      <c r="G67" s="83"/>
    </row>
    <row r="68" spans="1:7" ht="21.4" customHeight="1" x14ac:dyDescent="0.2">
      <c r="A68" s="84"/>
      <c r="C68" s="83"/>
      <c r="D68" s="88"/>
      <c r="G68" s="83"/>
    </row>
    <row r="69" spans="1:7" ht="21.4" customHeight="1" x14ac:dyDescent="0.2">
      <c r="A69" s="84"/>
      <c r="C69" s="83"/>
      <c r="D69" s="88"/>
      <c r="G69" s="83"/>
    </row>
    <row r="70" spans="1:7" ht="21.4" customHeight="1" x14ac:dyDescent="0.2">
      <c r="A70" s="84"/>
      <c r="C70" s="83"/>
      <c r="D70" s="88"/>
      <c r="G70" s="83"/>
    </row>
    <row r="71" spans="1:7" ht="21.4" customHeight="1" x14ac:dyDescent="0.2">
      <c r="A71" s="84"/>
      <c r="C71" s="83"/>
      <c r="D71" s="88"/>
      <c r="G71" s="83"/>
    </row>
    <row r="72" spans="1:7" ht="21.4" customHeight="1" x14ac:dyDescent="0.2">
      <c r="A72" s="84"/>
      <c r="C72" s="83"/>
      <c r="D72" s="88"/>
      <c r="G72" s="83"/>
    </row>
    <row r="73" spans="1:7" ht="21.4" customHeight="1" x14ac:dyDescent="0.2">
      <c r="A73" s="84"/>
      <c r="C73" s="83"/>
      <c r="D73" s="88"/>
      <c r="G73" s="83"/>
    </row>
    <row r="74" spans="1:7" ht="21.4" customHeight="1" x14ac:dyDescent="0.2">
      <c r="A74" s="84"/>
      <c r="C74" s="83"/>
      <c r="D74" s="88"/>
      <c r="G74" s="83"/>
    </row>
    <row r="75" spans="1:7" ht="21.4" customHeight="1" x14ac:dyDescent="0.2">
      <c r="A75" s="84"/>
      <c r="C75" s="83"/>
      <c r="D75" s="88"/>
      <c r="G75" s="83"/>
    </row>
    <row r="76" spans="1:7" ht="21.4" customHeight="1" x14ac:dyDescent="0.2">
      <c r="A76" s="84"/>
      <c r="C76" s="83"/>
      <c r="D76" s="88"/>
      <c r="G76" s="83"/>
    </row>
    <row r="77" spans="1:7" ht="21.4" customHeight="1" x14ac:dyDescent="0.2">
      <c r="A77" s="84"/>
      <c r="C77" s="83"/>
      <c r="D77" s="88"/>
      <c r="G77" s="83"/>
    </row>
    <row r="78" spans="1:7" ht="21.4" customHeight="1" x14ac:dyDescent="0.2">
      <c r="A78" s="84"/>
      <c r="C78" s="83"/>
      <c r="D78" s="88"/>
      <c r="G78" s="83"/>
    </row>
    <row r="79" spans="1:7" ht="21.4" customHeight="1" x14ac:dyDescent="0.2">
      <c r="A79" s="84"/>
      <c r="C79" s="83"/>
      <c r="D79" s="88"/>
      <c r="G79" s="83"/>
    </row>
    <row r="80" spans="1:7" ht="21.4" customHeight="1" x14ac:dyDescent="0.2">
      <c r="A80" s="84"/>
      <c r="C80" s="83"/>
      <c r="D80" s="88"/>
      <c r="G80" s="83"/>
    </row>
    <row r="81" spans="1:7" ht="21.4" customHeight="1" x14ac:dyDescent="0.2">
      <c r="A81" s="84"/>
      <c r="C81" s="83"/>
      <c r="D81" s="88"/>
      <c r="G81" s="83"/>
    </row>
    <row r="82" spans="1:7" ht="21.4" customHeight="1" x14ac:dyDescent="0.2">
      <c r="A82" s="84"/>
      <c r="C82" s="83"/>
      <c r="D82" s="88"/>
      <c r="G82" s="83"/>
    </row>
    <row r="83" spans="1:7" ht="21.4" customHeight="1" x14ac:dyDescent="0.2">
      <c r="A83" s="84"/>
      <c r="C83" s="83"/>
      <c r="D83" s="88"/>
      <c r="G83" s="83"/>
    </row>
    <row r="84" spans="1:7" ht="21.4" customHeight="1" x14ac:dyDescent="0.2">
      <c r="A84" s="84"/>
      <c r="C84" s="83"/>
      <c r="D84" s="88"/>
      <c r="G84" s="83"/>
    </row>
    <row r="85" spans="1:7" ht="21.4" customHeight="1" x14ac:dyDescent="0.2">
      <c r="A85" s="84"/>
      <c r="C85" s="83"/>
      <c r="D85" s="88"/>
      <c r="G85" s="83"/>
    </row>
    <row r="86" spans="1:7" ht="21.4" customHeight="1" x14ac:dyDescent="0.2">
      <c r="A86" s="84"/>
      <c r="C86" s="83"/>
      <c r="D86" s="88"/>
      <c r="G86" s="83"/>
    </row>
    <row r="87" spans="1:7" ht="21.4" customHeight="1" x14ac:dyDescent="0.2">
      <c r="A87" s="84"/>
      <c r="C87" s="83"/>
      <c r="D87" s="88"/>
      <c r="G87" s="83"/>
    </row>
    <row r="88" spans="1:7" ht="21.4" customHeight="1" x14ac:dyDescent="0.2">
      <c r="A88" s="84"/>
      <c r="C88" s="83"/>
      <c r="D88" s="88"/>
      <c r="G88" s="83"/>
    </row>
    <row r="89" spans="1:7" ht="21.4" customHeight="1" x14ac:dyDescent="0.2">
      <c r="A89" s="84"/>
      <c r="C89" s="83"/>
      <c r="D89" s="88"/>
      <c r="G89" s="83"/>
    </row>
    <row r="90" spans="1:7" ht="21.4" customHeight="1" x14ac:dyDescent="0.2">
      <c r="A90" s="84"/>
      <c r="C90" s="83"/>
      <c r="D90" s="88"/>
      <c r="G90" s="83"/>
    </row>
    <row r="91" spans="1:7" ht="30" customHeight="1" x14ac:dyDescent="0.2">
      <c r="A91" s="84"/>
      <c r="C91" s="85"/>
      <c r="D91" s="88"/>
      <c r="G91" s="83"/>
    </row>
    <row r="92" spans="1:7" ht="30" customHeight="1" x14ac:dyDescent="0.2">
      <c r="A92" s="84"/>
      <c r="C92" s="85"/>
      <c r="D92" s="88"/>
      <c r="G92" s="83"/>
    </row>
    <row r="93" spans="1:7" ht="30" customHeight="1" x14ac:dyDescent="0.2">
      <c r="A93" s="84"/>
      <c r="C93" s="85"/>
      <c r="D93" s="88"/>
      <c r="G93" s="83"/>
    </row>
    <row r="94" spans="1:7" ht="30" customHeight="1" x14ac:dyDescent="0.2">
      <c r="A94" s="84"/>
      <c r="C94" s="85"/>
      <c r="D94" s="88"/>
      <c r="G94" s="83"/>
    </row>
    <row r="95" spans="1:7" ht="30" customHeight="1" x14ac:dyDescent="0.2">
      <c r="A95" s="84"/>
      <c r="C95" s="85"/>
      <c r="D95" s="88"/>
      <c r="G95" s="83"/>
    </row>
    <row r="96" spans="1:7" ht="30" customHeight="1" x14ac:dyDescent="0.2">
      <c r="A96" s="84"/>
      <c r="C96" s="85"/>
      <c r="D96" s="88"/>
      <c r="G96" s="83"/>
    </row>
    <row r="97" spans="1:7" ht="30" customHeight="1" x14ac:dyDescent="0.2">
      <c r="A97" s="84"/>
      <c r="C97" s="85"/>
      <c r="D97" s="88"/>
      <c r="G97" s="83"/>
    </row>
    <row r="98" spans="1:7" ht="30" customHeight="1" x14ac:dyDescent="0.2">
      <c r="A98" s="84"/>
      <c r="C98" s="85"/>
      <c r="D98" s="88"/>
      <c r="G98" s="83"/>
    </row>
    <row r="99" spans="1:7" ht="30" customHeight="1" x14ac:dyDescent="0.2">
      <c r="A99" s="84"/>
      <c r="C99" s="85"/>
      <c r="D99" s="88"/>
      <c r="G99" s="83"/>
    </row>
    <row r="100" spans="1:7" ht="30" customHeight="1" x14ac:dyDescent="0.2">
      <c r="A100" s="84"/>
      <c r="C100" s="85"/>
      <c r="D100" s="88"/>
      <c r="G100" s="83"/>
    </row>
    <row r="101" spans="1:7" x14ac:dyDescent="0.2">
      <c r="A101" s="84"/>
      <c r="C101" s="85"/>
      <c r="D101" s="88"/>
      <c r="G101" s="83"/>
    </row>
    <row r="102" spans="1:7" x14ac:dyDescent="0.2">
      <c r="A102" s="84"/>
      <c r="C102" s="85"/>
      <c r="D102" s="88"/>
      <c r="G102" s="83"/>
    </row>
    <row r="103" spans="1:7" x14ac:dyDescent="0.2">
      <c r="D103" s="88"/>
      <c r="G103" s="83"/>
    </row>
    <row r="104" spans="1:7" x14ac:dyDescent="0.2">
      <c r="D104" s="88"/>
      <c r="G104" s="83"/>
    </row>
    <row r="105" spans="1:7" x14ac:dyDescent="0.2">
      <c r="D105" s="88"/>
      <c r="G105" s="83"/>
    </row>
    <row r="106" spans="1:7" x14ac:dyDescent="0.2">
      <c r="D106" s="88"/>
      <c r="G106" s="83"/>
    </row>
    <row r="107" spans="1:7" x14ac:dyDescent="0.2">
      <c r="D107" s="88"/>
      <c r="G107" s="83"/>
    </row>
    <row r="108" spans="1:7" x14ac:dyDescent="0.2">
      <c r="D108" s="88"/>
      <c r="G108" s="83"/>
    </row>
    <row r="109" spans="1:7" x14ac:dyDescent="0.2">
      <c r="D109" s="88"/>
      <c r="G109" s="83"/>
    </row>
    <row r="110" spans="1:7" x14ac:dyDescent="0.2">
      <c r="D110" s="88"/>
      <c r="G110" s="83"/>
    </row>
    <row r="111" spans="1:7" x14ac:dyDescent="0.2">
      <c r="D111" s="88"/>
      <c r="G111" s="83"/>
    </row>
    <row r="112" spans="1:7" x14ac:dyDescent="0.2">
      <c r="D112" s="88"/>
      <c r="G112" s="83"/>
    </row>
    <row r="113" spans="4:7" x14ac:dyDescent="0.2">
      <c r="D113" s="88"/>
      <c r="G113" s="83"/>
    </row>
    <row r="114" spans="4:7" x14ac:dyDescent="0.2">
      <c r="D114" s="88"/>
      <c r="G114" s="83"/>
    </row>
    <row r="115" spans="4:7" x14ac:dyDescent="0.2">
      <c r="D115" s="88"/>
      <c r="G115" s="83"/>
    </row>
    <row r="116" spans="4:7" x14ac:dyDescent="0.2">
      <c r="D116" s="88"/>
      <c r="G116" s="83"/>
    </row>
    <row r="117" spans="4:7" x14ac:dyDescent="0.2">
      <c r="D117" s="89"/>
      <c r="G117" s="83"/>
    </row>
    <row r="118" spans="4:7" x14ac:dyDescent="0.2">
      <c r="D118" s="89"/>
      <c r="G118" s="83"/>
    </row>
    <row r="119" spans="4:7" x14ac:dyDescent="0.2">
      <c r="G119" s="83"/>
    </row>
    <row r="120" spans="4:7" x14ac:dyDescent="0.2">
      <c r="G120" s="83"/>
    </row>
    <row r="121" spans="4:7" x14ac:dyDescent="0.2">
      <c r="G121" s="83"/>
    </row>
    <row r="122" spans="4:7" x14ac:dyDescent="0.2">
      <c r="G122" s="83"/>
    </row>
    <row r="123" spans="4:7" x14ac:dyDescent="0.2">
      <c r="G123" s="83"/>
    </row>
  </sheetData>
  <mergeCells count="1">
    <mergeCell ref="A1:D1"/>
  </mergeCells>
  <pageMargins left="0.7" right="0.7" top="0.75" bottom="0.75" header="0.3" footer="0.3"/>
  <pageSetup orientation="landscape" r:id="rId1"/>
  <headerFooter>
    <oddHeader>&amp;CCommunication Sheet (Not for Recording Data)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FetchBB_Click">
                <anchor moveWithCells="1" sizeWithCells="1">
                  <from>
                    <xdr:col>4</xdr:col>
                    <xdr:colOff>95250</xdr:colOff>
                    <xdr:row>1</xdr:row>
                    <xdr:rowOff>57150</xdr:rowOff>
                  </from>
                  <to>
                    <xdr:col>6</xdr:col>
                    <xdr:colOff>638175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5" name="Button 17">
              <controlPr defaultSize="0" print="0" autoFill="0" autoPict="0" macro="[0]!Print_button">
                <anchor moveWithCells="1" sizeWithCells="1">
                  <from>
                    <xdr:col>4</xdr:col>
                    <xdr:colOff>85725</xdr:colOff>
                    <xdr:row>4</xdr:row>
                    <xdr:rowOff>133350</xdr:rowOff>
                  </from>
                  <to>
                    <xdr:col>6</xdr:col>
                    <xdr:colOff>638175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6" name="Button 19">
              <controlPr defaultSize="0" print="0" autoFill="0" autoPict="0" macro="[0]!Button19_Click">
                <anchor moveWithCells="1" sizeWithCells="1">
                  <from>
                    <xdr:col>4</xdr:col>
                    <xdr:colOff>95250</xdr:colOff>
                    <xdr:row>7</xdr:row>
                    <xdr:rowOff>66675</xdr:rowOff>
                  </from>
                  <to>
                    <xdr:col>6</xdr:col>
                    <xdr:colOff>638175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6"/>
    <pageSetUpPr autoPageBreaks="0" fitToPage="1"/>
  </sheetPr>
  <dimension ref="A1:K14"/>
  <sheetViews>
    <sheetView showGridLines="0" tabSelected="1" zoomScale="90" zoomScaleNormal="90" workbookViewId="0">
      <selection activeCell="G4" sqref="G4"/>
    </sheetView>
  </sheetViews>
  <sheetFormatPr defaultColWidth="8.88671875" defaultRowHeight="14.25" x14ac:dyDescent="0.2"/>
  <cols>
    <col min="1" max="1" width="2.88671875" style="7" customWidth="1"/>
    <col min="2" max="2" width="18.44140625" customWidth="1"/>
    <col min="3" max="8" width="17.88671875" customWidth="1"/>
    <col min="9" max="9" width="2.88671875" customWidth="1"/>
    <col min="10" max="10" width="12.88671875" customWidth="1"/>
    <col min="11" max="11" width="13.88671875" customWidth="1"/>
  </cols>
  <sheetData>
    <row r="1" spans="1:11" s="1" customFormat="1" ht="60" customHeight="1" x14ac:dyDescent="0.2">
      <c r="A1" s="7"/>
      <c r="B1" s="20" t="str">
        <f>"January "&amp;CalendarYear</f>
        <v>January 2021</v>
      </c>
      <c r="C1" s="21"/>
      <c r="D1" s="22"/>
      <c r="E1" s="23"/>
      <c r="F1" s="23"/>
      <c r="G1" s="23"/>
      <c r="H1" s="24"/>
    </row>
    <row r="2" spans="1:11" s="2" customFormat="1" ht="21.75" customHeight="1" x14ac:dyDescent="0.2">
      <c r="A2" s="7"/>
      <c r="B2" s="77" t="str">
        <f>WeekStart</f>
        <v>SUNDAY</v>
      </c>
      <c r="C2" s="76" t="str">
        <f t="shared" ref="C2:H2" si="0">UPPER(TEXT(C3,"dddd"))</f>
        <v>MONDAY</v>
      </c>
      <c r="D2" s="78" t="str">
        <f>UPPER(TEXT(D3,"dddd"))</f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  <c r="J2" s="104" t="s">
        <v>4</v>
      </c>
      <c r="K2" s="104"/>
    </row>
    <row r="3" spans="1:11" s="3" customFormat="1" ht="19.5" customHeight="1" x14ac:dyDescent="0.25">
      <c r="A3" s="7"/>
      <c r="B3" s="14">
        <f t="array" ref="B3:H3">DaysAndWeeks+DATE(CalendarYear,1,1)-WEEKDAY(DATE(CalendarYear,1,1),(WeekStart="Monday")+1)+1</f>
        <v>44192</v>
      </c>
      <c r="C3" s="14">
        <v>44193</v>
      </c>
      <c r="D3" s="14">
        <v>44194</v>
      </c>
      <c r="E3" s="14">
        <v>44195</v>
      </c>
      <c r="F3" s="14">
        <v>44196</v>
      </c>
      <c r="G3" s="14">
        <v>44197</v>
      </c>
      <c r="H3" s="14">
        <v>44198</v>
      </c>
      <c r="J3" s="9" t="s">
        <v>2</v>
      </c>
      <c r="K3" s="15">
        <v>2021</v>
      </c>
    </row>
    <row r="4" spans="1:11" ht="57.95" customHeight="1" x14ac:dyDescent="0.25">
      <c r="C4" s="70"/>
      <c r="D4" s="70"/>
      <c r="E4" s="70"/>
      <c r="F4" s="70"/>
      <c r="G4" s="105" t="s">
        <v>26</v>
      </c>
      <c r="H4" s="70"/>
      <c r="J4" s="16" t="s">
        <v>3</v>
      </c>
      <c r="K4" s="17" t="s">
        <v>0</v>
      </c>
    </row>
    <row r="5" spans="1:11" s="3" customFormat="1" ht="19.5" customHeight="1" x14ac:dyDescent="0.25">
      <c r="A5" s="7"/>
      <c r="B5" s="13">
        <f t="array" ref="B5:H5">DaysAndWeeks+DATE(CalendarYear,1,1)-WEEKDAY(DATE(CalendarYear,1,1),(WeekStart="Monday")+1)+8</f>
        <v>44199</v>
      </c>
      <c r="C5" s="13">
        <v>44200</v>
      </c>
      <c r="D5" s="13">
        <v>44201</v>
      </c>
      <c r="E5" s="13">
        <v>44202</v>
      </c>
      <c r="F5" s="13">
        <v>44203</v>
      </c>
      <c r="G5" s="13">
        <v>44204</v>
      </c>
      <c r="H5" s="13">
        <v>44205</v>
      </c>
    </row>
    <row r="6" spans="1:11" s="5" customFormat="1" ht="57.95" customHeight="1" x14ac:dyDescent="0.25">
      <c r="A6" s="7"/>
      <c r="B6" s="13"/>
      <c r="C6" s="13"/>
      <c r="D6" s="13"/>
      <c r="E6" s="13"/>
      <c r="F6" s="13"/>
      <c r="G6" s="13"/>
      <c r="H6" s="13"/>
      <c r="J6" s="6"/>
    </row>
    <row r="7" spans="1:11" s="3" customFormat="1" ht="19.5" customHeight="1" x14ac:dyDescent="0.25">
      <c r="A7" s="7"/>
      <c r="B7" s="14">
        <f t="array" ref="B7:H7">DaysAndWeeks+DATE(CalendarYear,1,1)-WEEKDAY(DATE(CalendarYear,1,1),(WeekStart="Monday")+1)+15</f>
        <v>44206</v>
      </c>
      <c r="C7" s="14">
        <v>44207</v>
      </c>
      <c r="D7" s="14">
        <v>44208</v>
      </c>
      <c r="E7" s="14">
        <v>44209</v>
      </c>
      <c r="F7" s="14">
        <v>44210</v>
      </c>
      <c r="G7" s="14">
        <v>44211</v>
      </c>
      <c r="H7" s="14">
        <v>44212</v>
      </c>
      <c r="J7" s="4"/>
    </row>
    <row r="8" spans="1:11" s="5" customFormat="1" ht="57.95" customHeight="1" x14ac:dyDescent="0.25">
      <c r="A8" s="7"/>
      <c r="B8" s="14"/>
      <c r="C8" s="14"/>
      <c r="D8" s="71"/>
      <c r="E8" s="71"/>
      <c r="F8" s="14"/>
      <c r="G8" s="14"/>
      <c r="H8" s="71"/>
    </row>
    <row r="9" spans="1:11" s="3" customFormat="1" ht="19.5" customHeight="1" x14ac:dyDescent="0.2">
      <c r="A9" s="7"/>
      <c r="B9" s="12">
        <f t="array" ref="B9:H9">DaysAndWeeks+DATE(CalendarYear,1,1)-WEEKDAY(DATE(CalendarYear,1,1),(WeekStart="Monday")+1)+22</f>
        <v>44213</v>
      </c>
      <c r="C9" s="12">
        <v>44214</v>
      </c>
      <c r="D9" s="12">
        <v>44215</v>
      </c>
      <c r="E9" s="12">
        <v>44216</v>
      </c>
      <c r="F9" s="12">
        <v>44217</v>
      </c>
      <c r="G9" s="12">
        <v>44218</v>
      </c>
      <c r="H9" s="12">
        <v>44219</v>
      </c>
    </row>
    <row r="10" spans="1:11" s="5" customFormat="1" ht="57.95" customHeight="1" x14ac:dyDescent="0.2">
      <c r="A10" s="7"/>
      <c r="B10" s="12"/>
      <c r="C10" s="12"/>
      <c r="D10" s="12"/>
      <c r="E10" s="12"/>
      <c r="F10" s="12"/>
      <c r="G10" s="12"/>
      <c r="H10" s="12"/>
    </row>
    <row r="11" spans="1:11" s="3" customFormat="1" ht="19.5" customHeight="1" x14ac:dyDescent="0.25">
      <c r="A11" s="7"/>
      <c r="B11" s="14">
        <f t="array" ref="B11:H11">DaysAndWeeks+DATE(CalendarYear,1,1)-WEEKDAY(DATE(CalendarYear,1,1),(WeekStart="Monday")+1)+29</f>
        <v>44220</v>
      </c>
      <c r="C11" s="14">
        <v>44221</v>
      </c>
      <c r="D11" s="14">
        <v>44222</v>
      </c>
      <c r="E11" s="14">
        <v>44223</v>
      </c>
      <c r="F11" s="14">
        <v>44224</v>
      </c>
      <c r="G11" s="14">
        <v>44225</v>
      </c>
      <c r="H11" s="14">
        <v>44226</v>
      </c>
    </row>
    <row r="12" spans="1:11" s="5" customFormat="1" ht="57.95" customHeight="1" x14ac:dyDescent="0.25">
      <c r="A12" s="7"/>
      <c r="B12" s="14"/>
      <c r="C12" s="14"/>
      <c r="D12" s="14"/>
      <c r="E12" s="14"/>
      <c r="F12" s="14"/>
      <c r="G12" s="14"/>
      <c r="H12" s="14"/>
    </row>
    <row r="13" spans="1:11" s="3" customFormat="1" ht="19.5" customHeight="1" x14ac:dyDescent="0.2">
      <c r="A13" s="7"/>
      <c r="B13" s="12">
        <f t="array" ref="B13:C13">DaysAndWeeks+DATE(CalendarYear,1,1)-WEEKDAY(DATE(CalendarYear,1,1),(WeekStart="Monday")+1)+36</f>
        <v>44227</v>
      </c>
      <c r="C13" s="12">
        <v>44228</v>
      </c>
      <c r="D13" s="10" t="s">
        <v>1</v>
      </c>
      <c r="E13" s="100"/>
      <c r="F13" s="100"/>
      <c r="G13" s="100"/>
      <c r="H13" s="101"/>
    </row>
    <row r="14" spans="1:11" s="5" customFormat="1" ht="57.95" customHeight="1" x14ac:dyDescent="0.2">
      <c r="A14" s="7"/>
      <c r="B14" s="12"/>
      <c r="C14" s="12"/>
      <c r="D14" s="11"/>
      <c r="E14" s="102"/>
      <c r="F14" s="102"/>
      <c r="G14" s="102"/>
      <c r="H14" s="103"/>
    </row>
  </sheetData>
  <sheetProtection sheet="1" objects="1" scenarios="1"/>
  <mergeCells count="2">
    <mergeCell ref="E13:H14"/>
    <mergeCell ref="J2:K2"/>
  </mergeCells>
  <phoneticPr fontId="1" type="noConversion"/>
  <conditionalFormatting sqref="B11:H11 B13:C13">
    <cfRule type="expression" dxfId="44" priority="25">
      <formula>AND(DAY(B11)&gt;=1,DAY(B11)&lt;=15)</formula>
    </cfRule>
  </conditionalFormatting>
  <conditionalFormatting sqref="B3:G3">
    <cfRule type="expression" dxfId="43" priority="24">
      <formula>DAY(B3)&gt;8</formula>
    </cfRule>
  </conditionalFormatting>
  <conditionalFormatting sqref="D13">
    <cfRule type="expression" dxfId="42" priority="1">
      <formula>AND(DAY(D13)&gt;=1,DAY(D13)&lt;=15)</formula>
    </cfRule>
  </conditionalFormatting>
  <dataValidations xWindow="1532" yWindow="270" count="10">
    <dataValidation type="list" errorStyle="warning" allowBlank="1" showInputMessage="1" showErrorMessage="1" error="Select a day from the list. Select CANCEL, then press ALT+DOWN ARROW to pick day from the drop-down list" prompt="Select week start day in this cell. Press ALT+DOWN ARROW to open the drop-down list, then press ENTER to select the week start day" sqref="K4" xr:uid="{00000000-0002-0000-0200-000000000000}">
      <formula1>"SUNDAY,MONDAY"</formula1>
    </dataValidation>
    <dataValidation allowBlank="1" showInputMessage="1" showErrorMessage="1" prompt="Create custom one-month calendars in this workbook. Customize the year and starting day of the week for all months with this January worksheet. Each month is on a separate worksheet" sqref="A1" xr:uid="{00000000-0002-0000-0200-000001000000}"/>
    <dataValidation allowBlank="1" showInputMessage="1" showErrorMessage="1" prompt="Enter year and select calendar start day in the cells below. These Calendar Settings cells will not print" sqref="J2" xr:uid="{00000000-0002-0000-0200-000002000000}"/>
    <dataValidation allowBlank="1" showInputMessage="1" showErrorMessage="1" prompt="Enter year in cell at right" sqref="J3" xr:uid="{00000000-0002-0000-0200-000003000000}"/>
    <dataValidation allowBlank="1" showInputMessage="1" showErrorMessage="1" prompt="Select week start day in cell at right" sqref="J4" xr:uid="{00000000-0002-0000-0200-000004000000}"/>
    <dataValidation allowBlank="1" showInputMessage="1" showErrorMessage="1" prompt="Enter year in this cell" sqref="K3" xr:uid="{00000000-0002-0000-0200-000005000000}"/>
    <dataValidation allowBlank="1" showErrorMessage="1" prompt="The year in this cell is automatically updated based on the year entered in cell K2. Calendar below has dates for previous and next month with lighter font shade" sqref="B1" xr:uid="{00000000-0002-0000-0200-000006000000}"/>
    <dataValidation allowBlank="1" showInputMessage="1" showErrorMessage="1" prompt="Enter Notes in this cell" sqref="E13:H14" xr:uid="{00000000-0002-0000-0200-000007000000}"/>
    <dataValidation allowBlank="1" showInputMessage="1" showErrorMessage="1" prompt="Enter Notes in the cell at right" sqref="D13:D14" xr:uid="{00000000-0002-0000-0200-000008000000}"/>
    <dataValidation allowBlank="1" showInputMessage="1" showErrorMessage="1" prompt="The year in this cell is automatically updated. Select another year in cell K3 to change the year" sqref="C1" xr:uid="{00000000-0002-0000-0200-000009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 alignWithMargins="0">
    <oddFooter>Page &amp;P of &amp;N</oddFooter>
  </headerFooter>
  <customProperties>
    <customPr name="SheetChang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Button1_Click">
                <anchor>
                  <from>
                    <xdr:col>9</xdr:col>
                    <xdr:colOff>304800</xdr:colOff>
                    <xdr:row>3</xdr:row>
                    <xdr:rowOff>323850</xdr:rowOff>
                  </from>
                  <to>
                    <xdr:col>10</xdr:col>
                    <xdr:colOff>838200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6" name="Button 105">
              <controlPr defaultSize="0" print="0" autoFill="0" autoPict="0" macro="[0]!ButtonChange_Click">
                <anchor>
                  <from>
                    <xdr:col>9</xdr:col>
                    <xdr:colOff>285750</xdr:colOff>
                    <xdr:row>5</xdr:row>
                    <xdr:rowOff>276225</xdr:rowOff>
                  </from>
                  <to>
                    <xdr:col>10</xdr:col>
                    <xdr:colOff>838200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 tint="0.39997558519241921"/>
    <pageSetUpPr fitToPage="1"/>
  </sheetPr>
  <dimension ref="A1:H14"/>
  <sheetViews>
    <sheetView showGridLines="0" zoomScale="90" zoomScaleNormal="90" workbookViewId="0">
      <selection activeCell="D8" sqref="D8"/>
    </sheetView>
  </sheetViews>
  <sheetFormatPr defaultColWidth="8.88671875" defaultRowHeight="14.25" x14ac:dyDescent="0.2"/>
  <cols>
    <col min="1" max="1" width="2.88671875" style="7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s="1" customFormat="1" ht="59.25" customHeight="1" x14ac:dyDescent="0.2">
      <c r="A1" s="7"/>
      <c r="B1" s="29" t="str">
        <f>"February "&amp;CalendarYear</f>
        <v>February 2021</v>
      </c>
      <c r="C1" s="30"/>
      <c r="D1" s="30"/>
      <c r="E1" s="31"/>
      <c r="F1" s="31"/>
      <c r="G1" s="31"/>
      <c r="H1" s="32"/>
    </row>
    <row r="2" spans="1:8" s="2" customFormat="1" ht="21.75" customHeight="1" x14ac:dyDescent="0.2">
      <c r="A2" s="7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s="3" customFormat="1" ht="19.5" customHeight="1" x14ac:dyDescent="0.25">
      <c r="A3" s="7"/>
      <c r="B3" s="14">
        <f t="array" ref="B3:H3">DaysAndWeeks+DATE(CalendarYear,2,1)-WEEKDAY(DATE(CalendarYear,2,1),(WeekStart="Monday")+1)+1</f>
        <v>44227</v>
      </c>
      <c r="C3" s="14">
        <v>44228</v>
      </c>
      <c r="D3" s="14">
        <v>44229</v>
      </c>
      <c r="E3" s="14">
        <v>44230</v>
      </c>
      <c r="F3" s="14">
        <v>44231</v>
      </c>
      <c r="G3" s="14">
        <v>44232</v>
      </c>
      <c r="H3" s="14">
        <v>44233</v>
      </c>
    </row>
    <row r="4" spans="1:8" ht="57.95" customHeight="1" x14ac:dyDescent="0.25">
      <c r="B4" s="14"/>
      <c r="C4" s="14"/>
      <c r="D4" s="14"/>
      <c r="E4" s="14"/>
      <c r="F4" s="14"/>
      <c r="G4" s="14"/>
      <c r="H4" s="14"/>
    </row>
    <row r="5" spans="1:8" s="3" customFormat="1" ht="19.5" customHeight="1" x14ac:dyDescent="0.2">
      <c r="A5" s="7"/>
      <c r="B5" s="12">
        <f t="array" ref="B5:H5">DaysAndWeeks+DATE(CalendarYear,2,1)-WEEKDAY(DATE(CalendarYear,2,1),(WeekStart="Monday")+1)+8</f>
        <v>44234</v>
      </c>
      <c r="C5" s="12">
        <v>44235</v>
      </c>
      <c r="D5" s="12">
        <v>44236</v>
      </c>
      <c r="E5" s="12">
        <v>44237</v>
      </c>
      <c r="F5" s="12">
        <v>44238</v>
      </c>
      <c r="G5" s="12">
        <v>44239</v>
      </c>
      <c r="H5" s="12">
        <v>44240</v>
      </c>
    </row>
    <row r="6" spans="1:8" ht="57.95" customHeight="1" x14ac:dyDescent="0.2">
      <c r="B6" s="12"/>
      <c r="C6" s="12"/>
      <c r="D6" s="12"/>
      <c r="E6" s="12"/>
      <c r="F6" s="12"/>
      <c r="G6" s="12"/>
      <c r="H6" s="12"/>
    </row>
    <row r="7" spans="1:8" s="3" customFormat="1" ht="19.5" customHeight="1" x14ac:dyDescent="0.25">
      <c r="A7" s="7"/>
      <c r="B7" s="14">
        <f t="array" ref="B7:H7">DaysAndWeeks+DATE(CalendarYear,2,1)-WEEKDAY(DATE(CalendarYear,2,1),(WeekStart="Monday")+1)+15</f>
        <v>44241</v>
      </c>
      <c r="C7" s="14">
        <v>44242</v>
      </c>
      <c r="D7" s="14">
        <v>44243</v>
      </c>
      <c r="E7" s="14">
        <v>44244</v>
      </c>
      <c r="F7" s="14">
        <v>44245</v>
      </c>
      <c r="G7" s="14">
        <v>44246</v>
      </c>
      <c r="H7" s="14">
        <v>44247</v>
      </c>
    </row>
    <row r="8" spans="1:8" ht="57.95" customHeight="1" x14ac:dyDescent="0.25">
      <c r="B8" s="14"/>
      <c r="C8" s="14"/>
      <c r="D8" s="71"/>
      <c r="E8" s="14"/>
      <c r="F8" s="14"/>
      <c r="G8" s="14"/>
      <c r="H8" s="14"/>
    </row>
    <row r="9" spans="1:8" s="3" customFormat="1" ht="19.5" customHeight="1" x14ac:dyDescent="0.2">
      <c r="A9" s="7"/>
      <c r="B9" s="12">
        <f t="array" ref="B9:H9">DaysAndWeeks+DATE(CalendarYear,2,1)-WEEKDAY(DATE(CalendarYear,2,1),(WeekStart="Monday")+1)+22</f>
        <v>44248</v>
      </c>
      <c r="C9" s="12">
        <v>44249</v>
      </c>
      <c r="D9" s="12">
        <v>44250</v>
      </c>
      <c r="E9" s="12">
        <v>44251</v>
      </c>
      <c r="F9" s="12">
        <v>44252</v>
      </c>
      <c r="G9" s="12">
        <v>44253</v>
      </c>
      <c r="H9" s="12">
        <v>44254</v>
      </c>
    </row>
    <row r="10" spans="1:8" ht="57.95" customHeight="1" x14ac:dyDescent="0.2">
      <c r="B10" s="12"/>
      <c r="C10" s="12"/>
      <c r="D10" s="12"/>
      <c r="E10" s="12"/>
      <c r="F10" s="12"/>
      <c r="G10" s="12"/>
      <c r="H10" s="12"/>
    </row>
    <row r="11" spans="1:8" s="3" customFormat="1" ht="19.5" customHeight="1" x14ac:dyDescent="0.25">
      <c r="A11" s="7"/>
      <c r="B11" s="14">
        <f t="array" ref="B11:H11">DaysAndWeeks+DATE(CalendarYear,2,1)-WEEKDAY(DATE(CalendarYear,2,1),(WeekStart="Monday")+1)+29</f>
        <v>44255</v>
      </c>
      <c r="C11" s="14">
        <v>44256</v>
      </c>
      <c r="D11" s="14">
        <v>44257</v>
      </c>
      <c r="E11" s="14">
        <v>44258</v>
      </c>
      <c r="F11" s="14">
        <v>44259</v>
      </c>
      <c r="G11" s="14">
        <v>44260</v>
      </c>
      <c r="H11" s="14">
        <v>44261</v>
      </c>
    </row>
    <row r="12" spans="1:8" ht="57.95" customHeight="1" x14ac:dyDescent="0.25">
      <c r="B12" s="14"/>
      <c r="C12" s="14"/>
      <c r="D12" s="14"/>
      <c r="E12" s="14"/>
      <c r="F12" s="71"/>
      <c r="G12" s="14"/>
      <c r="H12" s="14"/>
    </row>
    <row r="13" spans="1:8" s="3" customFormat="1" ht="19.5" customHeight="1" x14ac:dyDescent="0.2">
      <c r="A13" s="7"/>
      <c r="B13" s="12">
        <f t="array" ref="B13:C13">DaysAndWeeks+DATE(CalendarYear,2,1)-WEEKDAY(DATE(CalendarYear,2,1),(WeekStart="Monday")+1)+36</f>
        <v>44262</v>
      </c>
      <c r="C13" s="12">
        <v>44263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B14" s="12"/>
      <c r="C14" s="12" t="s">
        <v>22</v>
      </c>
      <c r="D14" s="11"/>
      <c r="E14" s="102"/>
      <c r="F14" s="102"/>
      <c r="G14" s="102"/>
      <c r="H14" s="103"/>
    </row>
  </sheetData>
  <sheetProtection sheet="1" objects="1" scenarios="1"/>
  <mergeCells count="1">
    <mergeCell ref="E13:H14"/>
  </mergeCells>
  <conditionalFormatting sqref="B11:H11 B13:C13">
    <cfRule type="expression" dxfId="41" priority="4">
      <formula>AND(DAY(B11)&gt;=1,DAY(B11)&lt;=15)</formula>
    </cfRule>
  </conditionalFormatting>
  <conditionalFormatting sqref="B3:G3">
    <cfRule type="expression" dxfId="40" priority="3">
      <formula>DAY(B3)&gt;8</formula>
    </cfRule>
  </conditionalFormatting>
  <conditionalFormatting sqref="D13">
    <cfRule type="expression" dxfId="39" priority="1">
      <formula>AND(DAY(D13)&gt;=1,DAY(D13)&lt;=15)</formula>
    </cfRule>
  </conditionalFormatting>
  <dataValidations xWindow="1101" yWindow="233" count="6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300-000000000000}"/>
    <dataValidation allowBlank="1" showInputMessage="1" showErrorMessage="1" prompt="February month calendar" sqref="A1" xr:uid="{00000000-0002-0000-0300-000001000000}"/>
    <dataValidation allowBlank="1" showInputMessage="1" showErrorMessage="1" prompt="Enter Notes in the cell at right" sqref="D13:D14" xr:uid="{00000000-0002-0000-0300-000002000000}"/>
    <dataValidation allowBlank="1" showInputMessage="1" showErrorMessage="1" prompt="Enter Notes in this cell" sqref="E13:H14" xr:uid="{00000000-0002-0000-0300-000003000000}"/>
    <dataValidation allowBlank="1" showInputMessage="1" showErrorMessage="1" prompt="This row &amp; rows 6, 8, 10, 12, &amp; 14 are cells for entering daily notes related to the calendar day in the cell above" sqref="B4" xr:uid="{00000000-0002-0000-0300-000004000000}"/>
    <dataValidation allowBlank="1" showInputMessage="1" showErrorMessage="1" prompt="The year in this cell is automatically updated. Select another year in cell K3 of the January worksheet to change the year" sqref="C1" xr:uid="{00000000-0002-0000-0300-000005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8" r:id="rId4" name="Button 16">
              <controlPr defaultSize="0" print="0" autoFill="0" autoPict="0" macro="[0]!Button1_Click">
                <anchor>
                  <from>
                    <xdr:col>9</xdr:col>
                    <xdr:colOff>247650</xdr:colOff>
                    <xdr:row>3</xdr:row>
                    <xdr:rowOff>371475</xdr:rowOff>
                  </from>
                  <to>
                    <xdr:col>11</xdr:col>
                    <xdr:colOff>209550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5" name="Button 17">
              <controlPr defaultSize="0" print="0" autoFill="0" autoPict="0" macro="[0]!ButtonChange_Click">
                <anchor>
                  <from>
                    <xdr:col>9</xdr:col>
                    <xdr:colOff>228600</xdr:colOff>
                    <xdr:row>5</xdr:row>
                    <xdr:rowOff>333375</xdr:rowOff>
                  </from>
                  <to>
                    <xdr:col>11</xdr:col>
                    <xdr:colOff>209550</xdr:colOff>
                    <xdr:row>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4" tint="0.39997558519241921"/>
    <pageSetUpPr fitToPage="1"/>
  </sheetPr>
  <dimension ref="A1:K14"/>
  <sheetViews>
    <sheetView showGridLines="0" zoomScale="90" zoomScaleNormal="90" workbookViewId="0">
      <selection activeCell="C6" sqref="C6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11" ht="59.25" customHeight="1" x14ac:dyDescent="0.2">
      <c r="A1" s="8"/>
      <c r="B1" s="35" t="str">
        <f>"March "&amp;CalendarYear</f>
        <v>March 2021</v>
      </c>
      <c r="C1" s="36"/>
      <c r="D1" s="36"/>
      <c r="E1" s="37"/>
      <c r="F1" s="37"/>
      <c r="G1" s="37"/>
      <c r="H1" s="38"/>
    </row>
    <row r="2" spans="1:11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11" ht="19.5" customHeight="1" x14ac:dyDescent="0.25">
      <c r="A3" s="8"/>
      <c r="B3" s="14">
        <f t="array" ref="B3:H3">DaysAndWeeks+DATE(CalendarYear,3,1)-WEEKDAY(DATE(CalendarYear,3,1),(WeekStart="Monday")+1)+1</f>
        <v>44255</v>
      </c>
      <c r="C3" s="14">
        <v>44256</v>
      </c>
      <c r="D3" s="14">
        <v>44257</v>
      </c>
      <c r="E3" s="14">
        <v>44258</v>
      </c>
      <c r="F3" s="14">
        <v>44259</v>
      </c>
      <c r="G3" s="14">
        <v>44260</v>
      </c>
      <c r="H3" s="14">
        <v>44261</v>
      </c>
    </row>
    <row r="4" spans="1:11" ht="57.95" customHeight="1" x14ac:dyDescent="0.25">
      <c r="A4" s="8"/>
      <c r="B4" s="72"/>
      <c r="C4" s="72"/>
      <c r="D4" s="72"/>
      <c r="E4" s="72"/>
      <c r="F4" s="72"/>
      <c r="G4" s="72"/>
      <c r="H4" s="73"/>
    </row>
    <row r="5" spans="1:11" ht="19.5" customHeight="1" x14ac:dyDescent="0.2">
      <c r="A5" s="8"/>
      <c r="B5" s="12">
        <f t="array" ref="B5:H5">DaysAndWeeks+DATE(CalendarYear,3,1)-WEEKDAY(DATE(CalendarYear,3,1),(WeekStart="Monday")+1)+8</f>
        <v>44262</v>
      </c>
      <c r="C5" s="12">
        <v>44263</v>
      </c>
      <c r="D5" s="12">
        <v>44264</v>
      </c>
      <c r="E5" s="12">
        <v>44265</v>
      </c>
      <c r="F5" s="12">
        <v>44266</v>
      </c>
      <c r="G5" s="12">
        <v>44267</v>
      </c>
      <c r="H5" s="12">
        <v>44268</v>
      </c>
    </row>
    <row r="6" spans="1:11" ht="57.95" customHeight="1" x14ac:dyDescent="0.2">
      <c r="A6" s="8"/>
      <c r="B6" s="12"/>
      <c r="C6" s="12" t="s">
        <v>22</v>
      </c>
      <c r="D6" s="12" t="s">
        <v>21</v>
      </c>
      <c r="E6" s="12" t="s">
        <v>23</v>
      </c>
      <c r="F6" s="12"/>
      <c r="G6" s="12"/>
      <c r="H6" s="12"/>
    </row>
    <row r="7" spans="1:11" ht="19.5" customHeight="1" x14ac:dyDescent="0.25">
      <c r="A7" s="8"/>
      <c r="B7" s="14">
        <f t="array" ref="B7:H7">DaysAndWeeks+DATE(CalendarYear,3,1)-WEEKDAY(DATE(CalendarYear,3,1),(WeekStart="Monday")+1)+15</f>
        <v>44269</v>
      </c>
      <c r="C7" s="14">
        <v>44270</v>
      </c>
      <c r="D7" s="14">
        <v>44271</v>
      </c>
      <c r="E7" s="14">
        <v>44272</v>
      </c>
      <c r="F7" s="14">
        <v>44273</v>
      </c>
      <c r="G7" s="14">
        <v>44274</v>
      </c>
      <c r="H7" s="14">
        <v>44275</v>
      </c>
    </row>
    <row r="8" spans="1:11" ht="57.95" customHeight="1" x14ac:dyDescent="0.25">
      <c r="A8" s="8"/>
      <c r="B8" s="14"/>
      <c r="C8" s="14"/>
      <c r="D8" s="14"/>
      <c r="E8" s="14"/>
      <c r="F8" s="14"/>
      <c r="G8" s="14"/>
      <c r="H8" s="14"/>
      <c r="K8" s="8"/>
    </row>
    <row r="9" spans="1:11" ht="19.5" customHeight="1" x14ac:dyDescent="0.2">
      <c r="A9" s="8"/>
      <c r="B9" s="12">
        <f t="array" ref="B9:H9">DaysAndWeeks+DATE(CalendarYear,3,1)-WEEKDAY(DATE(CalendarYear,3,1),(WeekStart="Monday")+1)+22</f>
        <v>44276</v>
      </c>
      <c r="C9" s="12">
        <v>44277</v>
      </c>
      <c r="D9" s="12">
        <v>44278</v>
      </c>
      <c r="E9" s="12">
        <v>44279</v>
      </c>
      <c r="F9" s="12">
        <v>44280</v>
      </c>
      <c r="G9" s="12">
        <v>44281</v>
      </c>
      <c r="H9" s="12">
        <v>44282</v>
      </c>
    </row>
    <row r="10" spans="1:11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11" ht="19.5" customHeight="1" x14ac:dyDescent="0.25">
      <c r="A11" s="8"/>
      <c r="B11" s="14">
        <f t="array" ref="B11:H11">DaysAndWeeks+DATE(CalendarYear,3,1)-WEEKDAY(DATE(CalendarYear,3,1),(WeekStart="Monday")+1)+29</f>
        <v>44283</v>
      </c>
      <c r="C11" s="14">
        <v>44284</v>
      </c>
      <c r="D11" s="14">
        <v>44285</v>
      </c>
      <c r="E11" s="14">
        <v>44286</v>
      </c>
      <c r="F11" s="14">
        <v>44287</v>
      </c>
      <c r="G11" s="14">
        <v>44288</v>
      </c>
      <c r="H11" s="14">
        <v>44289</v>
      </c>
    </row>
    <row r="12" spans="1:11" ht="57.95" customHeight="1" x14ac:dyDescent="0.25">
      <c r="A12" s="8"/>
      <c r="B12" s="14"/>
      <c r="C12" s="14"/>
      <c r="D12" s="14"/>
      <c r="E12" s="14"/>
      <c r="F12" s="14"/>
      <c r="G12" s="14"/>
      <c r="H12" s="14"/>
    </row>
    <row r="13" spans="1:11" ht="19.5" customHeight="1" x14ac:dyDescent="0.2">
      <c r="A13" s="8"/>
      <c r="B13" s="12">
        <f t="array" ref="B13:C13">DaysAndWeeks+DATE(CalendarYear,3,1)-WEEKDAY(DATE(CalendarYear,3,1),(WeekStart="Monday")+1)+36</f>
        <v>44290</v>
      </c>
      <c r="C13" s="12">
        <v>44291</v>
      </c>
      <c r="D13" s="10" t="s">
        <v>1</v>
      </c>
      <c r="E13" s="100"/>
      <c r="F13" s="100"/>
      <c r="G13" s="100"/>
      <c r="H13" s="101"/>
    </row>
    <row r="14" spans="1:11" ht="57.95" customHeight="1" x14ac:dyDescent="0.2">
      <c r="A14" s="8"/>
      <c r="B14" s="12"/>
      <c r="C14" s="12"/>
      <c r="D14" s="11"/>
      <c r="E14" s="102"/>
      <c r="F14" s="102"/>
      <c r="G14" s="102"/>
      <c r="H14" s="103"/>
    </row>
  </sheetData>
  <sheetProtection sheet="1" objects="1" scenarios="1"/>
  <mergeCells count="1">
    <mergeCell ref="E13:H14"/>
  </mergeCells>
  <conditionalFormatting sqref="B11:H11 B13:C13">
    <cfRule type="expression" dxfId="38" priority="10">
      <formula>AND(DAY(B11)&gt;=1,DAY(B11)&lt;=15)</formula>
    </cfRule>
  </conditionalFormatting>
  <conditionalFormatting sqref="D13">
    <cfRule type="expression" dxfId="37" priority="7">
      <formula>AND(DAY(D13)&gt;=1,DAY(D13)&lt;=15)</formula>
    </cfRule>
  </conditionalFormatting>
  <conditionalFormatting sqref="E3">
    <cfRule type="expression" dxfId="36" priority="6">
      <formula>DAY(E3)&gt;8</formula>
    </cfRule>
  </conditionalFormatting>
  <conditionalFormatting sqref="F3:G3">
    <cfRule type="expression" dxfId="35" priority="4">
      <formula>DAY(F3)&gt;8</formula>
    </cfRule>
  </conditionalFormatting>
  <conditionalFormatting sqref="D3">
    <cfRule type="expression" dxfId="34" priority="3">
      <formula>DAY(D3)&gt;8</formula>
    </cfRule>
  </conditionalFormatting>
  <conditionalFormatting sqref="C3">
    <cfRule type="expression" dxfId="33" priority="2">
      <formula>DAY(C3)&gt;8</formula>
    </cfRule>
  </conditionalFormatting>
  <conditionalFormatting sqref="B3">
    <cfRule type="expression" dxfId="32" priority="1">
      <formula>DAY(B3)&gt;8</formula>
    </cfRule>
  </conditionalFormatting>
  <dataValidations xWindow="1133" yWindow="236" count="5">
    <dataValidation allowBlank="1" showInputMessage="1" showErrorMessage="1" prompt="Enter Notes in this cell" sqref="E13:H14" xr:uid="{00000000-0002-0000-0400-000000000000}"/>
    <dataValidation allowBlank="1" showInputMessage="1" showErrorMessage="1" prompt="Enter Notes in the cell at right" sqref="D13:D14" xr:uid="{00000000-0002-0000-0400-000001000000}"/>
    <dataValidation allowBlank="1" showInputMessage="1" showErrorMessage="1" prompt="March month calendar" sqref="A1" xr:uid="{00000000-0002-0000-0400-000002000000}"/>
    <dataValidation allowBlank="1" showErrorMessage="1" prompt="The year in this cell is automatically updated based on the year entered in January worksheet. Calendar below has dates for previous and next month with lighter font shade" sqref="B1" xr:uid="{00000000-0002-0000-0400-000003000000}"/>
    <dataValidation allowBlank="1" showInputMessage="1" showErrorMessage="1" prompt="The year in this cell is automatically updated. Select another year in cell K3 of the January worksheet to change the year" sqref="C1" xr:uid="{00000000-0002-0000-0400-000004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6" r:id="rId4" name="Button 14">
              <controlPr defaultSize="0" print="0" autoFill="0" autoPict="0" macro="[0]!Button1_Click">
                <anchor>
                  <from>
                    <xdr:col>9</xdr:col>
                    <xdr:colOff>200025</xdr:colOff>
                    <xdr:row>3</xdr:row>
                    <xdr:rowOff>333375</xdr:rowOff>
                  </from>
                  <to>
                    <xdr:col>11</xdr:col>
                    <xdr:colOff>161925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5" name="Button 15">
              <controlPr defaultSize="0" print="0" autoFill="0" autoPict="0" macro="[0]!ButtonChange_Click">
                <anchor>
                  <from>
                    <xdr:col>9</xdr:col>
                    <xdr:colOff>180975</xdr:colOff>
                    <xdr:row>5</xdr:row>
                    <xdr:rowOff>285750</xdr:rowOff>
                  </from>
                  <to>
                    <xdr:col>11</xdr:col>
                    <xdr:colOff>161925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/>
    <pageSetUpPr fitToPage="1"/>
  </sheetPr>
  <dimension ref="A1:H14"/>
  <sheetViews>
    <sheetView showGridLines="0" zoomScale="90" zoomScaleNormal="90" workbookViewId="0">
      <selection activeCell="E8" sqref="E8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A1" s="8"/>
      <c r="B1" s="33" t="str">
        <f>"April "&amp;CalendarYear</f>
        <v>April 2021</v>
      </c>
      <c r="C1" s="18"/>
      <c r="D1" s="18"/>
      <c r="E1" s="19"/>
      <c r="F1" s="19"/>
      <c r="G1" s="19"/>
      <c r="H1" s="34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DaysAndWeeks+DATE(CalendarYear,4,1)-WEEKDAY(DATE(CalendarYear,4,1),(WeekStart="Monday")+1)+1</f>
        <v>44283</v>
      </c>
      <c r="C3" s="14">
        <v>44284</v>
      </c>
      <c r="D3" s="14">
        <v>44285</v>
      </c>
      <c r="E3" s="14">
        <v>44286</v>
      </c>
      <c r="F3" s="14">
        <v>44287</v>
      </c>
      <c r="G3" s="14">
        <v>44288</v>
      </c>
      <c r="H3" s="14">
        <v>44289</v>
      </c>
    </row>
    <row r="4" spans="1:8" ht="57.95" customHeight="1" x14ac:dyDescent="0.25">
      <c r="A4" s="8"/>
      <c r="B4" s="14"/>
      <c r="C4" s="14"/>
      <c r="D4" s="14"/>
      <c r="E4" s="14"/>
      <c r="F4" s="14"/>
      <c r="G4" s="14"/>
      <c r="H4" s="14"/>
    </row>
    <row r="5" spans="1:8" ht="19.5" customHeight="1" x14ac:dyDescent="0.2">
      <c r="A5" s="8"/>
      <c r="B5" s="12">
        <f t="array" ref="B5:H5">DaysAndWeeks+DATE(CalendarYear,4,1)-WEEKDAY(DATE(CalendarYear,4,1),(WeekStart="Monday")+1)+8</f>
        <v>44290</v>
      </c>
      <c r="C5" s="12">
        <v>44291</v>
      </c>
      <c r="D5" s="12">
        <v>44292</v>
      </c>
      <c r="E5" s="12">
        <v>44293</v>
      </c>
      <c r="F5" s="12">
        <v>44294</v>
      </c>
      <c r="G5" s="12">
        <v>44295</v>
      </c>
      <c r="H5" s="12">
        <v>44296</v>
      </c>
    </row>
    <row r="6" spans="1:8" ht="57.95" customHeight="1" x14ac:dyDescent="0.2">
      <c r="A6" s="8"/>
      <c r="B6" s="12"/>
      <c r="C6" s="12"/>
      <c r="D6" s="12"/>
      <c r="E6" s="12"/>
      <c r="F6" s="12"/>
      <c r="G6" s="12"/>
      <c r="H6" s="12"/>
    </row>
    <row r="7" spans="1:8" ht="19.5" customHeight="1" x14ac:dyDescent="0.25">
      <c r="A7" s="8"/>
      <c r="B7" s="14">
        <f t="array" ref="B7:H7">DaysAndWeeks+DATE(CalendarYear,4,1)-WEEKDAY(DATE(CalendarYear,4,1),(WeekStart="Monday")+1)+15</f>
        <v>44297</v>
      </c>
      <c r="C7" s="14">
        <v>44298</v>
      </c>
      <c r="D7" s="14">
        <v>44299</v>
      </c>
      <c r="E7" s="14">
        <v>44300</v>
      </c>
      <c r="F7" s="14">
        <v>44301</v>
      </c>
      <c r="G7" s="14">
        <v>44302</v>
      </c>
      <c r="H7" s="14">
        <v>44303</v>
      </c>
    </row>
    <row r="8" spans="1:8" ht="57.95" customHeight="1" x14ac:dyDescent="0.25">
      <c r="A8" s="8"/>
      <c r="B8" s="14"/>
      <c r="C8" s="71"/>
      <c r="D8" s="71"/>
      <c r="E8" s="14"/>
      <c r="F8" s="14"/>
      <c r="G8" s="14"/>
      <c r="H8" s="71"/>
    </row>
    <row r="9" spans="1:8" ht="19.5" customHeight="1" x14ac:dyDescent="0.2">
      <c r="A9" s="8"/>
      <c r="B9" s="12">
        <f t="array" ref="B9:H9">DaysAndWeeks+DATE(CalendarYear,4,1)-WEEKDAY(DATE(CalendarYear,4,1),(WeekStart="Monday")+1)+22</f>
        <v>44304</v>
      </c>
      <c r="C9" s="12">
        <v>44305</v>
      </c>
      <c r="D9" s="12">
        <v>44306</v>
      </c>
      <c r="E9" s="12">
        <v>44307</v>
      </c>
      <c r="F9" s="12">
        <v>44308</v>
      </c>
      <c r="G9" s="12">
        <v>44309</v>
      </c>
      <c r="H9" s="12">
        <v>44310</v>
      </c>
    </row>
    <row r="10" spans="1:8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8" ht="19.5" customHeight="1" x14ac:dyDescent="0.25">
      <c r="A11" s="8"/>
      <c r="B11" s="14">
        <f t="array" ref="B11:H11">DaysAndWeeks+DATE(CalendarYear,4,1)-WEEKDAY(DATE(CalendarYear,4,1),(WeekStart="Monday")+1)+29</f>
        <v>44311</v>
      </c>
      <c r="C11" s="14">
        <v>44312</v>
      </c>
      <c r="D11" s="14">
        <v>44313</v>
      </c>
      <c r="E11" s="14">
        <v>44314</v>
      </c>
      <c r="F11" s="14">
        <v>44315</v>
      </c>
      <c r="G11" s="14">
        <v>44316</v>
      </c>
      <c r="H11" s="14">
        <v>44317</v>
      </c>
    </row>
    <row r="12" spans="1:8" ht="57.95" customHeight="1" x14ac:dyDescent="0.25">
      <c r="A12" s="8"/>
      <c r="B12" s="14"/>
      <c r="C12" s="71"/>
      <c r="D12" s="71"/>
      <c r="E12" s="71"/>
      <c r="F12" s="14"/>
      <c r="G12" s="14"/>
      <c r="H12" s="71"/>
    </row>
    <row r="13" spans="1:8" ht="19.5" customHeight="1" x14ac:dyDescent="0.2">
      <c r="A13" s="8"/>
      <c r="B13" s="12">
        <f t="array" ref="B13:C13">DaysAndWeeks+DATE(CalendarYear,4,1)-WEEKDAY(DATE(CalendarYear,4,1),(WeekStart="Monday")+1)+36</f>
        <v>44318</v>
      </c>
      <c r="C13" s="12">
        <v>44319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74"/>
      <c r="C14" s="12"/>
      <c r="D14" s="11"/>
      <c r="E14" s="102"/>
      <c r="F14" s="102"/>
      <c r="G14" s="102"/>
      <c r="H14" s="103"/>
    </row>
  </sheetData>
  <sheetProtection sheet="1" objects="1" scenarios="1"/>
  <mergeCells count="1">
    <mergeCell ref="E13:H14"/>
  </mergeCells>
  <conditionalFormatting sqref="B11:H11 B13:C13">
    <cfRule type="expression" dxfId="31" priority="4">
      <formula>AND(DAY(B11)&gt;=1,DAY(B11)&lt;=15)</formula>
    </cfRule>
  </conditionalFormatting>
  <conditionalFormatting sqref="B3:G3">
    <cfRule type="expression" dxfId="30" priority="3">
      <formula>DAY(B3)&gt;8</formula>
    </cfRule>
  </conditionalFormatting>
  <conditionalFormatting sqref="D13">
    <cfRule type="expression" dxfId="29" priority="1">
      <formula>AND(DAY(D13)&gt;=1,DAY(D13)&lt;=15)</formula>
    </cfRule>
  </conditionalFormatting>
  <dataValidations xWindow="1105" yWindow="268" count="5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500-000000000000}"/>
    <dataValidation allowBlank="1" showInputMessage="1" showErrorMessage="1" prompt="April month calendar" sqref="A1" xr:uid="{00000000-0002-0000-0500-000001000000}"/>
    <dataValidation allowBlank="1" showInputMessage="1" showErrorMessage="1" prompt="Enter Notes in the cell at right" sqref="D13:D14" xr:uid="{00000000-0002-0000-0500-000002000000}"/>
    <dataValidation allowBlank="1" showInputMessage="1" showErrorMessage="1" prompt="Enter Notes in this cell" sqref="E13:H14" xr:uid="{00000000-0002-0000-0500-000003000000}"/>
    <dataValidation allowBlank="1" showInputMessage="1" showErrorMessage="1" prompt="The year in this cell is automatically updated. Select another year in cell K3 of the January worksheet to change the year" sqref="C1" xr:uid="{00000000-0002-0000-0500-000004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6" r:id="rId4" name="Button 66">
              <controlPr defaultSize="0" print="0" autoFill="0" autoPict="0" macro="[0]!Button1_Click">
                <anchor>
                  <from>
                    <xdr:col>9</xdr:col>
                    <xdr:colOff>152400</xdr:colOff>
                    <xdr:row>3</xdr:row>
                    <xdr:rowOff>352425</xdr:rowOff>
                  </from>
                  <to>
                    <xdr:col>11</xdr:col>
                    <xdr:colOff>114300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7" r:id="rId5" name="Button 67">
              <controlPr defaultSize="0" print="0" autoFill="0" autoPict="0" macro="[0]!ButtonChange_Click">
                <anchor>
                  <from>
                    <xdr:col>9</xdr:col>
                    <xdr:colOff>133350</xdr:colOff>
                    <xdr:row>5</xdr:row>
                    <xdr:rowOff>304800</xdr:rowOff>
                  </from>
                  <to>
                    <xdr:col>11</xdr:col>
                    <xdr:colOff>114300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/>
    <pageSetUpPr fitToPage="1"/>
  </sheetPr>
  <dimension ref="A1:H14"/>
  <sheetViews>
    <sheetView showGridLines="0" zoomScale="90" zoomScaleNormal="90" workbookViewId="0">
      <selection activeCell="D4" sqref="D4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A1" s="8"/>
      <c r="B1" s="39" t="str">
        <f>"May "&amp;CalendarYear</f>
        <v>May 2021</v>
      </c>
      <c r="C1" s="40"/>
      <c r="D1" s="40"/>
      <c r="E1" s="41"/>
      <c r="F1" s="41"/>
      <c r="G1" s="41"/>
      <c r="H1" s="42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DaysAndWeeks+DATE(CalendarYear,5,1)-WEEKDAY(DATE(CalendarYear,5,1),(WeekStart="Monday")+1)+1</f>
        <v>44311</v>
      </c>
      <c r="C3" s="14">
        <v>44312</v>
      </c>
      <c r="D3" s="14">
        <v>44313</v>
      </c>
      <c r="E3" s="14">
        <v>44314</v>
      </c>
      <c r="F3" s="14">
        <v>44315</v>
      </c>
      <c r="G3" s="14">
        <v>44316</v>
      </c>
      <c r="H3" s="14">
        <v>44317</v>
      </c>
    </row>
    <row r="4" spans="1:8" ht="57.95" customHeight="1" x14ac:dyDescent="0.25">
      <c r="A4" s="8"/>
      <c r="B4" s="14"/>
      <c r="C4" s="14"/>
      <c r="D4" s="14"/>
      <c r="E4" s="14"/>
      <c r="F4" s="14"/>
      <c r="G4" s="14"/>
      <c r="H4" s="71"/>
    </row>
    <row r="5" spans="1:8" ht="19.5" customHeight="1" x14ac:dyDescent="0.2">
      <c r="A5" s="8"/>
      <c r="B5" s="12">
        <f t="array" ref="B5:H5">DaysAndWeeks+DATE(CalendarYear,5,1)-WEEKDAY(DATE(CalendarYear,5,1),(WeekStart="Monday")+1)+8</f>
        <v>44318</v>
      </c>
      <c r="C5" s="12">
        <v>44319</v>
      </c>
      <c r="D5" s="12">
        <v>44320</v>
      </c>
      <c r="E5" s="12">
        <v>44321</v>
      </c>
      <c r="F5" s="12">
        <v>44322</v>
      </c>
      <c r="G5" s="12">
        <v>44323</v>
      </c>
      <c r="H5" s="12">
        <v>44324</v>
      </c>
    </row>
    <row r="6" spans="1:8" ht="57.95" customHeight="1" x14ac:dyDescent="0.2">
      <c r="A6" s="8"/>
      <c r="B6" s="74"/>
      <c r="C6" s="12"/>
      <c r="D6" s="12"/>
      <c r="E6" s="12"/>
      <c r="F6" s="74"/>
      <c r="G6" s="12"/>
      <c r="H6" s="12"/>
    </row>
    <row r="7" spans="1:8" ht="19.5" customHeight="1" x14ac:dyDescent="0.25">
      <c r="A7" s="8"/>
      <c r="B7" s="14">
        <f t="array" ref="B7:H7">DaysAndWeeks+DATE(CalendarYear,5,1)-WEEKDAY(DATE(CalendarYear,5,1),(WeekStart="Monday")+1)+15</f>
        <v>44325</v>
      </c>
      <c r="C7" s="14">
        <v>44326</v>
      </c>
      <c r="D7" s="14">
        <v>44327</v>
      </c>
      <c r="E7" s="14">
        <v>44328</v>
      </c>
      <c r="F7" s="14">
        <v>44329</v>
      </c>
      <c r="G7" s="14">
        <v>44330</v>
      </c>
      <c r="H7" s="14">
        <v>44331</v>
      </c>
    </row>
    <row r="8" spans="1:8" ht="57.95" customHeight="1" x14ac:dyDescent="0.25">
      <c r="A8" s="8"/>
      <c r="B8" s="71"/>
      <c r="C8" s="14"/>
      <c r="D8" s="14"/>
      <c r="E8" s="14"/>
      <c r="F8" s="75"/>
      <c r="G8" s="14"/>
      <c r="H8" s="71"/>
    </row>
    <row r="9" spans="1:8" ht="19.5" customHeight="1" x14ac:dyDescent="0.2">
      <c r="A9" s="8"/>
      <c r="B9" s="12">
        <f t="array" ref="B9:H9">DaysAndWeeks+DATE(CalendarYear,5,1)-WEEKDAY(DATE(CalendarYear,5,1),(WeekStart="Monday")+1)+22</f>
        <v>44332</v>
      </c>
      <c r="C9" s="12">
        <v>44333</v>
      </c>
      <c r="D9" s="12">
        <v>44334</v>
      </c>
      <c r="E9" s="12">
        <v>44335</v>
      </c>
      <c r="F9" s="12">
        <v>44336</v>
      </c>
      <c r="G9" s="12">
        <v>44337</v>
      </c>
      <c r="H9" s="12">
        <v>44338</v>
      </c>
    </row>
    <row r="10" spans="1:8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8" ht="19.5" customHeight="1" x14ac:dyDescent="0.25">
      <c r="A11" s="8"/>
      <c r="B11" s="14">
        <f t="array" ref="B11:H11">DaysAndWeeks+DATE(CalendarYear,5,1)-WEEKDAY(DATE(CalendarYear,5,1),(WeekStart="Monday")+1)+29</f>
        <v>44339</v>
      </c>
      <c r="C11" s="14">
        <v>44340</v>
      </c>
      <c r="D11" s="14">
        <v>44341</v>
      </c>
      <c r="E11" s="14">
        <v>44342</v>
      </c>
      <c r="F11" s="14">
        <v>44343</v>
      </c>
      <c r="G11" s="14">
        <v>44344</v>
      </c>
      <c r="H11" s="14">
        <v>44345</v>
      </c>
    </row>
    <row r="12" spans="1:8" ht="57.95" customHeight="1" x14ac:dyDescent="0.25">
      <c r="A12" s="8"/>
      <c r="B12" s="71"/>
      <c r="C12" s="14"/>
      <c r="D12" s="14"/>
      <c r="E12" s="71"/>
      <c r="F12" s="14"/>
      <c r="G12" s="14"/>
      <c r="H12" s="14"/>
    </row>
    <row r="13" spans="1:8" ht="19.5" customHeight="1" x14ac:dyDescent="0.2">
      <c r="A13" s="8"/>
      <c r="B13" s="12">
        <f t="array" ref="B13:C13">DaysAndWeeks+DATE(CalendarYear,5,1)-WEEKDAY(DATE(CalendarYear,5,1),(WeekStart="Monday")+1)+36</f>
        <v>44346</v>
      </c>
      <c r="C13" s="12">
        <v>44347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12"/>
      <c r="C14" s="12"/>
      <c r="D14" s="11"/>
      <c r="E14" s="102"/>
      <c r="F14" s="102"/>
      <c r="G14" s="102"/>
      <c r="H14" s="103"/>
    </row>
  </sheetData>
  <sheetProtection sheet="1" objects="1" scenarios="1"/>
  <mergeCells count="1">
    <mergeCell ref="E13:H14"/>
  </mergeCells>
  <conditionalFormatting sqref="B11:H11 B13:C13">
    <cfRule type="expression" dxfId="28" priority="4">
      <formula>AND(DAY(B11)&gt;=1,DAY(B11)&lt;=15)</formula>
    </cfRule>
  </conditionalFormatting>
  <conditionalFormatting sqref="B3:G3">
    <cfRule type="expression" dxfId="27" priority="3">
      <formula>DAY(B3)&gt;8</formula>
    </cfRule>
  </conditionalFormatting>
  <conditionalFormatting sqref="D13">
    <cfRule type="expression" dxfId="26" priority="1">
      <formula>AND(DAY(D13)&gt;=1,DAY(D13)&lt;=15)</formula>
    </cfRule>
  </conditionalFormatting>
  <dataValidations xWindow="1111" yWindow="288" count="5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600-000000000000}"/>
    <dataValidation allowBlank="1" showInputMessage="1" showErrorMessage="1" prompt="May month calendar" sqref="A1" xr:uid="{00000000-0002-0000-0600-000001000000}"/>
    <dataValidation allowBlank="1" showInputMessage="1" showErrorMessage="1" prompt="Enter Notes in the cell at right" sqref="D13:D14" xr:uid="{00000000-0002-0000-0600-000002000000}"/>
    <dataValidation allowBlank="1" showInputMessage="1" showErrorMessage="1" prompt="Enter Notes in this cell" sqref="E13:H14" xr:uid="{00000000-0002-0000-0600-000003000000}"/>
    <dataValidation allowBlank="1" showInputMessage="1" showErrorMessage="1" prompt="The year in this cell is automatically updated. Select another year in cell K3 of the January worksheet to change the year" sqref="C1" xr:uid="{00000000-0002-0000-0600-000004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07" r:id="rId4" name="Button 139">
              <controlPr defaultSize="0" print="0" autoFill="0" autoPict="0" macro="[0]!Button1_Click">
                <anchor>
                  <from>
                    <xdr:col>9</xdr:col>
                    <xdr:colOff>95250</xdr:colOff>
                    <xdr:row>3</xdr:row>
                    <xdr:rowOff>352425</xdr:rowOff>
                  </from>
                  <to>
                    <xdr:col>11</xdr:col>
                    <xdr:colOff>57150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5" name="Button 140">
              <controlPr defaultSize="0" print="0" autoFill="0" autoPict="0" macro="[0]!ButtonChange_Click">
                <anchor>
                  <from>
                    <xdr:col>9</xdr:col>
                    <xdr:colOff>76200</xdr:colOff>
                    <xdr:row>5</xdr:row>
                    <xdr:rowOff>304800</xdr:rowOff>
                  </from>
                  <to>
                    <xdr:col>11</xdr:col>
                    <xdr:colOff>57150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7" tint="0.59999389629810485"/>
    <pageSetUpPr fitToPage="1"/>
  </sheetPr>
  <dimension ref="A1:H14"/>
  <sheetViews>
    <sheetView showGridLines="0" zoomScale="90" zoomScaleNormal="90" workbookViewId="0">
      <selection activeCell="F10" sqref="F10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B1" s="25" t="str">
        <f>"June "&amp;CalendarYear</f>
        <v>June 2021</v>
      </c>
      <c r="C1" s="26"/>
      <c r="D1" s="26"/>
      <c r="E1" s="27"/>
      <c r="F1" s="27"/>
      <c r="G1" s="27"/>
      <c r="H1" s="28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DaysAndWeeks+DATE(CalendarYear,6,1)-WEEKDAY(DATE(CalendarYear,6,1),(WeekStart="Monday")+1)+1</f>
        <v>44346</v>
      </c>
      <c r="C3" s="14">
        <v>44347</v>
      </c>
      <c r="D3" s="14">
        <v>44348</v>
      </c>
      <c r="E3" s="14">
        <v>44349</v>
      </c>
      <c r="F3" s="14">
        <v>44350</v>
      </c>
      <c r="G3" s="14">
        <v>44351</v>
      </c>
      <c r="H3" s="14">
        <v>44352</v>
      </c>
    </row>
    <row r="4" spans="1:8" ht="57.95" customHeight="1" x14ac:dyDescent="0.25">
      <c r="A4" s="8"/>
      <c r="B4" s="14"/>
      <c r="C4" s="14"/>
      <c r="D4" s="14"/>
      <c r="E4" s="71"/>
      <c r="F4" s="14"/>
      <c r="G4" s="14"/>
      <c r="H4" s="14"/>
    </row>
    <row r="5" spans="1:8" ht="19.5" customHeight="1" x14ac:dyDescent="0.2">
      <c r="A5" s="8"/>
      <c r="B5" s="12">
        <f t="array" ref="B5:H5">DaysAndWeeks+DATE(CalendarYear,6,1)-WEEKDAY(DATE(CalendarYear,6,1),(WeekStart="Monday")+1)+8</f>
        <v>44353</v>
      </c>
      <c r="C5" s="12">
        <v>44354</v>
      </c>
      <c r="D5" s="12">
        <v>44355</v>
      </c>
      <c r="E5" s="12">
        <v>44356</v>
      </c>
      <c r="F5" s="12">
        <v>44357</v>
      </c>
      <c r="G5" s="12">
        <v>44358</v>
      </c>
      <c r="H5" s="12">
        <v>44359</v>
      </c>
    </row>
    <row r="6" spans="1:8" ht="57.95" customHeight="1" x14ac:dyDescent="0.2">
      <c r="A6" s="8"/>
      <c r="B6" s="12"/>
      <c r="C6" s="12"/>
      <c r="D6" s="12"/>
      <c r="E6" s="12"/>
      <c r="F6" s="12"/>
      <c r="G6" s="12"/>
      <c r="H6" s="12"/>
    </row>
    <row r="7" spans="1:8" ht="19.5" customHeight="1" x14ac:dyDescent="0.25">
      <c r="A7" s="8"/>
      <c r="B7" s="14">
        <f t="array" ref="B7:H7">DaysAndWeeks+DATE(CalendarYear,6,1)-WEEKDAY(DATE(CalendarYear,6,1),(WeekStart="Monday")+1)+15</f>
        <v>44360</v>
      </c>
      <c r="C7" s="14">
        <v>44361</v>
      </c>
      <c r="D7" s="14">
        <v>44362</v>
      </c>
      <c r="E7" s="14">
        <v>44363</v>
      </c>
      <c r="F7" s="14">
        <v>44364</v>
      </c>
      <c r="G7" s="14">
        <v>44365</v>
      </c>
      <c r="H7" s="14">
        <v>44366</v>
      </c>
    </row>
    <row r="8" spans="1:8" ht="57.95" customHeight="1" x14ac:dyDescent="0.25">
      <c r="A8" s="8"/>
      <c r="B8" s="14"/>
      <c r="C8" s="14"/>
      <c r="D8" s="14"/>
      <c r="E8" s="14"/>
      <c r="F8" s="14"/>
      <c r="G8" s="14"/>
      <c r="H8" s="14"/>
    </row>
    <row r="9" spans="1:8" ht="19.5" customHeight="1" x14ac:dyDescent="0.2">
      <c r="A9" s="8"/>
      <c r="B9" s="12">
        <f t="array" ref="B9:H9">DaysAndWeeks+DATE(CalendarYear,6,1)-WEEKDAY(DATE(CalendarYear,6,1),(WeekStart="Monday")+1)+22</f>
        <v>44367</v>
      </c>
      <c r="C9" s="12">
        <v>44368</v>
      </c>
      <c r="D9" s="12">
        <v>44369</v>
      </c>
      <c r="E9" s="12">
        <v>44370</v>
      </c>
      <c r="F9" s="12">
        <v>44371</v>
      </c>
      <c r="G9" s="12">
        <v>44372</v>
      </c>
      <c r="H9" s="12">
        <v>44373</v>
      </c>
    </row>
    <row r="10" spans="1:8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8" ht="19.5" customHeight="1" x14ac:dyDescent="0.25">
      <c r="A11" s="8"/>
      <c r="B11" s="14">
        <f t="array" ref="B11:H11">DaysAndWeeks+DATE(CalendarYear,6,1)-WEEKDAY(DATE(CalendarYear,6,1),(WeekStart="Monday")+1)+29</f>
        <v>44374</v>
      </c>
      <c r="C11" s="14">
        <v>44375</v>
      </c>
      <c r="D11" s="14">
        <v>44376</v>
      </c>
      <c r="E11" s="14">
        <v>44377</v>
      </c>
      <c r="F11" s="14">
        <v>44378</v>
      </c>
      <c r="G11" s="14">
        <v>44379</v>
      </c>
      <c r="H11" s="14">
        <v>44380</v>
      </c>
    </row>
    <row r="12" spans="1:8" ht="57.95" customHeight="1" x14ac:dyDescent="0.25">
      <c r="A12" s="8"/>
      <c r="B12" s="14"/>
      <c r="C12" s="14"/>
      <c r="D12" s="14"/>
      <c r="E12" s="14"/>
      <c r="F12" s="14"/>
      <c r="G12" s="14"/>
      <c r="H12" s="14"/>
    </row>
    <row r="13" spans="1:8" ht="19.5" customHeight="1" x14ac:dyDescent="0.2">
      <c r="A13" s="8"/>
      <c r="B13" s="12">
        <f t="array" ref="B13:C13">DaysAndWeeks+DATE(CalendarYear,6,1)-WEEKDAY(DATE(CalendarYear,6,1),(WeekStart="Monday")+1)+36</f>
        <v>44381</v>
      </c>
      <c r="C13" s="12">
        <v>44382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12"/>
      <c r="C14" s="12"/>
      <c r="D14" s="11"/>
      <c r="E14" s="102"/>
      <c r="F14" s="102"/>
      <c r="G14" s="102"/>
      <c r="H14" s="103"/>
    </row>
  </sheetData>
  <mergeCells count="1">
    <mergeCell ref="E13:H14"/>
  </mergeCells>
  <conditionalFormatting sqref="B11:H11 B13:C13">
    <cfRule type="expression" dxfId="25" priority="4">
      <formula>AND(DAY(B11)&gt;=1,DAY(B11)&lt;=15)</formula>
    </cfRule>
  </conditionalFormatting>
  <conditionalFormatting sqref="B3:G3">
    <cfRule type="expression" dxfId="24" priority="3">
      <formula>DAY(B3)&gt;8</formula>
    </cfRule>
  </conditionalFormatting>
  <conditionalFormatting sqref="D13">
    <cfRule type="expression" dxfId="23" priority="1">
      <formula>AND(DAY(D13)&gt;=1,DAY(D13)&lt;=15)</formula>
    </cfRule>
  </conditionalFormatting>
  <dataValidations xWindow="1126" yWindow="277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700-000000000000}"/>
    <dataValidation allowBlank="1" showInputMessage="1" showErrorMessage="1" prompt="Enter Notes in the cell at right" sqref="D13:D14" xr:uid="{00000000-0002-0000-0700-000001000000}"/>
    <dataValidation allowBlank="1" showInputMessage="1" showErrorMessage="1" prompt="Enter Notes in this cell" sqref="E13:H14" xr:uid="{00000000-0002-0000-0700-000002000000}"/>
    <dataValidation allowBlank="1" showInputMessage="1" showErrorMessage="1" prompt="The year in this cell is automatically updated. Select another year in cell K3 of the January worksheet to change the year" sqref="C1" xr:uid="{00000000-0002-0000-07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4" r:id="rId4" name="Button 4">
              <controlPr defaultSize="0" print="0" autoFill="0" autoPict="0" macro="[0]!Button1_Click">
                <anchor>
                  <from>
                    <xdr:col>9</xdr:col>
                    <xdr:colOff>171450</xdr:colOff>
                    <xdr:row>3</xdr:row>
                    <xdr:rowOff>304800</xdr:rowOff>
                  </from>
                  <to>
                    <xdr:col>11</xdr:col>
                    <xdr:colOff>133350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5" name="Button 5">
              <controlPr defaultSize="0" print="0" autoFill="0" autoPict="0" macro="[0]!ButtonChange_Click">
                <anchor>
                  <from>
                    <xdr:col>9</xdr:col>
                    <xdr:colOff>152400</xdr:colOff>
                    <xdr:row>5</xdr:row>
                    <xdr:rowOff>257175</xdr:rowOff>
                  </from>
                  <to>
                    <xdr:col>11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7"/>
    <pageSetUpPr fitToPage="1"/>
  </sheetPr>
  <dimension ref="A1:H59"/>
  <sheetViews>
    <sheetView showGridLines="0" zoomScale="90" zoomScaleNormal="90" workbookViewId="0">
      <selection activeCell="F10" sqref="F10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B1" s="43" t="str">
        <f>"July "&amp;CalendarYear</f>
        <v>July 2021</v>
      </c>
      <c r="C1" s="44"/>
      <c r="D1" s="44"/>
      <c r="E1" s="45"/>
      <c r="F1" s="45"/>
      <c r="G1" s="45"/>
      <c r="H1" s="46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DaysAndWeeks+DATE(CalendarYear,7,1)-WEEKDAY(DATE(CalendarYear,7,1),(WeekStart="Monday")+1)+1</f>
        <v>44374</v>
      </c>
      <c r="C3" s="14">
        <v>44375</v>
      </c>
      <c r="D3" s="14">
        <v>44376</v>
      </c>
      <c r="E3" s="14">
        <v>44377</v>
      </c>
      <c r="F3" s="14">
        <v>44378</v>
      </c>
      <c r="G3" s="14">
        <v>44379</v>
      </c>
      <c r="H3" s="14">
        <v>44380</v>
      </c>
    </row>
    <row r="4" spans="1:8" ht="57.95" customHeight="1" x14ac:dyDescent="0.25">
      <c r="A4" s="8"/>
      <c r="B4" s="14"/>
      <c r="C4" s="14"/>
      <c r="D4" s="14"/>
      <c r="E4" s="14"/>
      <c r="F4" s="14"/>
      <c r="G4" s="14"/>
      <c r="H4" s="14"/>
    </row>
    <row r="5" spans="1:8" ht="19.5" customHeight="1" x14ac:dyDescent="0.2">
      <c r="A5" s="8"/>
      <c r="B5" s="12">
        <f t="array" ref="B5:H5">DaysAndWeeks+DATE(CalendarYear,7,1)-WEEKDAY(DATE(CalendarYear,7,1),(WeekStart="Monday")+1)+8</f>
        <v>44381</v>
      </c>
      <c r="C5" s="12">
        <v>44382</v>
      </c>
      <c r="D5" s="12">
        <v>44383</v>
      </c>
      <c r="E5" s="12">
        <v>44384</v>
      </c>
      <c r="F5" s="12">
        <v>44385</v>
      </c>
      <c r="G5" s="12">
        <v>44386</v>
      </c>
      <c r="H5" s="12">
        <v>44387</v>
      </c>
    </row>
    <row r="6" spans="1:8" ht="57.95" customHeight="1" x14ac:dyDescent="0.2">
      <c r="A6" s="8"/>
      <c r="B6" s="12"/>
      <c r="C6" s="12"/>
      <c r="D6" s="12"/>
      <c r="E6" s="12"/>
      <c r="F6" s="12"/>
      <c r="G6" s="12"/>
      <c r="H6" s="12"/>
    </row>
    <row r="7" spans="1:8" ht="19.5" customHeight="1" x14ac:dyDescent="0.25">
      <c r="A7" s="8"/>
      <c r="B7" s="14">
        <f t="array" ref="B7:H7">DaysAndWeeks+DATE(CalendarYear,7,1)-WEEKDAY(DATE(CalendarYear,7,1),(WeekStart="Monday")+1)+15</f>
        <v>44388</v>
      </c>
      <c r="C7" s="14">
        <v>44389</v>
      </c>
      <c r="D7" s="14">
        <v>44390</v>
      </c>
      <c r="E7" s="14">
        <v>44391</v>
      </c>
      <c r="F7" s="14">
        <v>44392</v>
      </c>
      <c r="G7" s="14">
        <v>44393</v>
      </c>
      <c r="H7" s="14">
        <v>44394</v>
      </c>
    </row>
    <row r="8" spans="1:8" ht="57.95" customHeight="1" x14ac:dyDescent="0.25">
      <c r="A8" s="8"/>
      <c r="B8" s="14"/>
      <c r="C8" s="14"/>
      <c r="D8" s="14"/>
      <c r="E8" s="14"/>
      <c r="F8" s="14"/>
      <c r="G8" s="14"/>
      <c r="H8" s="14"/>
    </row>
    <row r="9" spans="1:8" ht="19.5" customHeight="1" x14ac:dyDescent="0.2">
      <c r="A9" s="8"/>
      <c r="B9" s="12">
        <f t="array" ref="B9:H9">DaysAndWeeks+DATE(CalendarYear,7,1)-WEEKDAY(DATE(CalendarYear,7,1),(WeekStart="Monday")+1)+22</f>
        <v>44395</v>
      </c>
      <c r="C9" s="12">
        <v>44396</v>
      </c>
      <c r="D9" s="12">
        <v>44397</v>
      </c>
      <c r="E9" s="12">
        <v>44398</v>
      </c>
      <c r="F9" s="12">
        <v>44399</v>
      </c>
      <c r="G9" s="12">
        <v>44400</v>
      </c>
      <c r="H9" s="12">
        <v>44401</v>
      </c>
    </row>
    <row r="10" spans="1:8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8" ht="19.5" customHeight="1" x14ac:dyDescent="0.25">
      <c r="A11" s="8"/>
      <c r="B11" s="14">
        <f t="array" ref="B11:H11">DaysAndWeeks+DATE(CalendarYear,7,1)-WEEKDAY(DATE(CalendarYear,7,1),(WeekStart="Monday")+1)+29</f>
        <v>44402</v>
      </c>
      <c r="C11" s="14">
        <v>44403</v>
      </c>
      <c r="D11" s="14">
        <v>44404</v>
      </c>
      <c r="E11" s="14">
        <v>44405</v>
      </c>
      <c r="F11" s="14">
        <v>44406</v>
      </c>
      <c r="G11" s="14">
        <v>44407</v>
      </c>
      <c r="H11" s="14">
        <v>44408</v>
      </c>
    </row>
    <row r="12" spans="1:8" ht="57.95" customHeight="1" x14ac:dyDescent="0.25">
      <c r="A12" s="8"/>
      <c r="B12" s="14"/>
      <c r="C12" s="14"/>
      <c r="D12" s="14"/>
      <c r="E12" s="14"/>
      <c r="F12" s="14"/>
      <c r="G12" s="14"/>
      <c r="H12" s="14"/>
    </row>
    <row r="13" spans="1:8" ht="19.5" customHeight="1" x14ac:dyDescent="0.2">
      <c r="A13" s="8"/>
      <c r="B13" s="12">
        <f t="array" ref="B13:C13">DaysAndWeeks+DATE(CalendarYear,7,1)-WEEKDAY(DATE(CalendarYear,7,1),(WeekStart="Monday")+1)+36</f>
        <v>44409</v>
      </c>
      <c r="C13" s="12">
        <v>44410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12"/>
      <c r="C14" s="12"/>
      <c r="D14" s="11"/>
      <c r="E14" s="102"/>
      <c r="F14" s="102"/>
      <c r="G14" s="102"/>
      <c r="H14" s="103"/>
    </row>
    <row r="59" spans="5:5" x14ac:dyDescent="0.2">
      <c r="E59" t="s">
        <v>11</v>
      </c>
    </row>
  </sheetData>
  <sheetProtection sheet="1" objects="1" scenarios="1"/>
  <dataConsolidate/>
  <mergeCells count="1">
    <mergeCell ref="E13:H14"/>
  </mergeCells>
  <conditionalFormatting sqref="B11:H11 B13:C13">
    <cfRule type="expression" dxfId="22" priority="4">
      <formula>AND(DAY(B11)&gt;=1,DAY(B11)&lt;=15)</formula>
    </cfRule>
  </conditionalFormatting>
  <conditionalFormatting sqref="B3:G3">
    <cfRule type="expression" dxfId="21" priority="3">
      <formula>DAY(B3)&gt;8</formula>
    </cfRule>
  </conditionalFormatting>
  <conditionalFormatting sqref="D13">
    <cfRule type="expression" dxfId="20" priority="1">
      <formula>AND(DAY(D13)&gt;=1,DAY(D13)&lt;=15)</formula>
    </cfRule>
  </conditionalFormatting>
  <dataValidations xWindow="1129" yWindow="280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800-000000000000}"/>
    <dataValidation allowBlank="1" showInputMessage="1" showErrorMessage="1" prompt="The year in this cell is automatically updated. Select another year in cell K3 of the January worksheet to change the year" sqref="C1" xr:uid="{00000000-0002-0000-0800-000001000000}"/>
    <dataValidation allowBlank="1" showInputMessage="1" showErrorMessage="1" prompt="Enter Notes in the cell at right" sqref="D13:D14" xr:uid="{00000000-0002-0000-0800-000002000000}"/>
    <dataValidation allowBlank="1" showInputMessage="1" showErrorMessage="1" prompt="Enter Notes in this cell" sqref="E13:H14" xr:uid="{00000000-0002-0000-08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Button1_Click">
                <anchor>
                  <from>
                    <xdr:col>9</xdr:col>
                    <xdr:colOff>171450</xdr:colOff>
                    <xdr:row>3</xdr:row>
                    <xdr:rowOff>304800</xdr:rowOff>
                  </from>
                  <to>
                    <xdr:col>11</xdr:col>
                    <xdr:colOff>133350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ButtonChange_Click">
                <anchor>
                  <from>
                    <xdr:col>9</xdr:col>
                    <xdr:colOff>152400</xdr:colOff>
                    <xdr:row>5</xdr:row>
                    <xdr:rowOff>257175</xdr:rowOff>
                  </from>
                  <to>
                    <xdr:col>11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8"/>
    <pageSetUpPr fitToPage="1"/>
  </sheetPr>
  <dimension ref="A1:H14"/>
  <sheetViews>
    <sheetView showGridLines="0" zoomScale="90" zoomScaleNormal="90" workbookViewId="0"/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B1" s="47" t="str">
        <f>"August "&amp;CalendarYear</f>
        <v>August 2021</v>
      </c>
      <c r="C1" s="48"/>
      <c r="D1" s="48"/>
      <c r="E1" s="49"/>
      <c r="F1" s="49"/>
      <c r="G1" s="49"/>
      <c r="H1" s="50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DaysAndWeeks+DATE(CalendarYear,8,1)-WEEKDAY(DATE(CalendarYear,8,1),(WeekStart="Monday")+1)+1</f>
        <v>44409</v>
      </c>
      <c r="C3" s="14">
        <v>44410</v>
      </c>
      <c r="D3" s="14">
        <v>44411</v>
      </c>
      <c r="E3" s="14">
        <v>44412</v>
      </c>
      <c r="F3" s="14">
        <v>44413</v>
      </c>
      <c r="G3" s="14">
        <v>44414</v>
      </c>
      <c r="H3" s="14">
        <v>44415</v>
      </c>
    </row>
    <row r="4" spans="1:8" ht="57.95" customHeight="1" x14ac:dyDescent="0.25">
      <c r="A4" s="8"/>
      <c r="B4" s="14"/>
      <c r="C4" s="14"/>
      <c r="D4" s="14"/>
      <c r="E4" s="14"/>
      <c r="F4" s="14"/>
      <c r="G4" s="14"/>
      <c r="H4" s="14"/>
    </row>
    <row r="5" spans="1:8" ht="19.5" customHeight="1" x14ac:dyDescent="0.2">
      <c r="A5" s="8"/>
      <c r="B5" s="12">
        <f t="array" ref="B5:H5">DaysAndWeeks+DATE(CalendarYear,8,1)-WEEKDAY(DATE(CalendarYear,8,1),(WeekStart="Monday")+1)+8</f>
        <v>44416</v>
      </c>
      <c r="C5" s="12">
        <v>44417</v>
      </c>
      <c r="D5" s="12">
        <v>44418</v>
      </c>
      <c r="E5" s="12">
        <v>44419</v>
      </c>
      <c r="F5" s="12">
        <v>44420</v>
      </c>
      <c r="G5" s="12">
        <v>44421</v>
      </c>
      <c r="H5" s="12">
        <v>44422</v>
      </c>
    </row>
    <row r="6" spans="1:8" ht="57.95" customHeight="1" x14ac:dyDescent="0.2">
      <c r="A6" s="8"/>
      <c r="B6" s="12"/>
      <c r="C6" s="12"/>
      <c r="D6" s="12"/>
      <c r="E6" s="12"/>
      <c r="F6" s="12"/>
      <c r="G6" s="12"/>
      <c r="H6" s="12"/>
    </row>
    <row r="7" spans="1:8" ht="19.5" customHeight="1" x14ac:dyDescent="0.25">
      <c r="A7" s="8"/>
      <c r="B7" s="14">
        <f t="array" ref="B7:H7">DaysAndWeeks+DATE(CalendarYear,8,1)-WEEKDAY(DATE(CalendarYear,8,1),(WeekStart="Monday")+1)+15</f>
        <v>44423</v>
      </c>
      <c r="C7" s="14">
        <v>44424</v>
      </c>
      <c r="D7" s="14">
        <v>44425</v>
      </c>
      <c r="E7" s="14">
        <v>44426</v>
      </c>
      <c r="F7" s="14">
        <v>44427</v>
      </c>
      <c r="G7" s="14">
        <v>44428</v>
      </c>
      <c r="H7" s="14">
        <v>44429</v>
      </c>
    </row>
    <row r="8" spans="1:8" ht="57.95" customHeight="1" x14ac:dyDescent="0.25">
      <c r="A8" s="8"/>
      <c r="B8" s="14"/>
      <c r="C8" s="14"/>
      <c r="D8" s="14"/>
      <c r="E8" s="14"/>
      <c r="F8" s="14"/>
      <c r="G8" s="14"/>
      <c r="H8" s="14"/>
    </row>
    <row r="9" spans="1:8" ht="19.5" customHeight="1" x14ac:dyDescent="0.2">
      <c r="A9" s="8"/>
      <c r="B9" s="12">
        <f t="array" ref="B9:H9">DaysAndWeeks+DATE(CalendarYear,8,1)-WEEKDAY(DATE(CalendarYear,8,1),(WeekStart="Monday")+1)+22</f>
        <v>44430</v>
      </c>
      <c r="C9" s="12">
        <v>44431</v>
      </c>
      <c r="D9" s="12">
        <v>44432</v>
      </c>
      <c r="E9" s="12">
        <v>44433</v>
      </c>
      <c r="F9" s="12">
        <v>44434</v>
      </c>
      <c r="G9" s="12">
        <v>44435</v>
      </c>
      <c r="H9" s="12">
        <v>44436</v>
      </c>
    </row>
    <row r="10" spans="1:8" ht="57.95" customHeight="1" x14ac:dyDescent="0.2">
      <c r="A10" s="8"/>
      <c r="B10" s="12"/>
      <c r="C10" s="12"/>
      <c r="D10" s="12"/>
      <c r="E10" s="12"/>
      <c r="F10" s="12"/>
      <c r="G10" s="12"/>
      <c r="H10" s="12"/>
    </row>
    <row r="11" spans="1:8" ht="19.5" customHeight="1" x14ac:dyDescent="0.25">
      <c r="A11" s="8"/>
      <c r="B11" s="14">
        <f t="array" ref="B11:H11">DaysAndWeeks+DATE(CalendarYear,8,1)-WEEKDAY(DATE(CalendarYear,8,1),(WeekStart="Monday")+1)+29</f>
        <v>44437</v>
      </c>
      <c r="C11" s="14">
        <v>44438</v>
      </c>
      <c r="D11" s="14">
        <v>44439</v>
      </c>
      <c r="E11" s="14">
        <v>44440</v>
      </c>
      <c r="F11" s="14">
        <v>44441</v>
      </c>
      <c r="G11" s="14">
        <v>44442</v>
      </c>
      <c r="H11" s="14">
        <v>44443</v>
      </c>
    </row>
    <row r="12" spans="1:8" ht="57.95" customHeight="1" x14ac:dyDescent="0.25">
      <c r="A12" s="8"/>
      <c r="B12" s="14"/>
      <c r="C12" s="14"/>
      <c r="D12" s="14"/>
      <c r="E12" s="14"/>
      <c r="F12" s="14"/>
      <c r="G12" s="14"/>
      <c r="H12" s="14"/>
    </row>
    <row r="13" spans="1:8" ht="19.5" customHeight="1" x14ac:dyDescent="0.2">
      <c r="A13" s="8"/>
      <c r="B13" s="12">
        <f t="array" ref="B13:C13">DaysAndWeeks+DATE(CalendarYear,8,1)-WEEKDAY(DATE(CalendarYear,8,1),(WeekStart="Monday")+1)+36</f>
        <v>44444</v>
      </c>
      <c r="C13" s="12">
        <v>44445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12"/>
      <c r="C14" s="12"/>
      <c r="D14" s="11"/>
      <c r="E14" s="102"/>
      <c r="F14" s="102"/>
      <c r="G14" s="102"/>
      <c r="H14" s="103"/>
    </row>
  </sheetData>
  <mergeCells count="1">
    <mergeCell ref="E13:H14"/>
  </mergeCells>
  <conditionalFormatting sqref="B11:H11 B13:C13">
    <cfRule type="expression" dxfId="19" priority="4">
      <formula>AND(DAY(B11)&gt;=1,DAY(B11)&lt;=15)</formula>
    </cfRule>
  </conditionalFormatting>
  <conditionalFormatting sqref="B3:G3">
    <cfRule type="expression" dxfId="18" priority="3">
      <formula>DAY(B3)&gt;8</formula>
    </cfRule>
  </conditionalFormatting>
  <conditionalFormatting sqref="D13">
    <cfRule type="expression" dxfId="17" priority="1">
      <formula>AND(DAY(D13)&gt;=1,DAY(D13)&lt;=15)</formula>
    </cfRule>
  </conditionalFormatting>
  <dataValidations xWindow="1158" yWindow="291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900-000000000000}"/>
    <dataValidation allowBlank="1" showInputMessage="1" showErrorMessage="1" prompt="Enter Notes in the cell at right" sqref="D13:D14" xr:uid="{00000000-0002-0000-0900-000001000000}"/>
    <dataValidation allowBlank="1" showInputMessage="1" showErrorMessage="1" prompt="Enter Notes in this cell" sqref="E13:H14" xr:uid="{00000000-0002-0000-0900-000002000000}"/>
    <dataValidation allowBlank="1" showInputMessage="1" showErrorMessage="1" prompt="The year in this cell is automatically updated. Select another year in cell K3 of the January worksheet to change the year" sqref="C1" xr:uid="{00000000-0002-0000-09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1" r:id="rId4" name="Button 3">
              <controlPr defaultSize="0" print="0" autoFill="0" autoPict="0" macro="[0]!Button1_Click">
                <anchor>
                  <from>
                    <xdr:col>9</xdr:col>
                    <xdr:colOff>285750</xdr:colOff>
                    <xdr:row>3</xdr:row>
                    <xdr:rowOff>285750</xdr:rowOff>
                  </from>
                  <to>
                    <xdr:col>11</xdr:col>
                    <xdr:colOff>247650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ButtonChange_Click">
                <anchor>
                  <from>
                    <xdr:col>9</xdr:col>
                    <xdr:colOff>266700</xdr:colOff>
                    <xdr:row>5</xdr:row>
                    <xdr:rowOff>238125</xdr:rowOff>
                  </from>
                  <to>
                    <xdr:col>11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8" tint="-0.249977111117893"/>
    <pageSetUpPr fitToPage="1"/>
  </sheetPr>
  <dimension ref="A1:H14"/>
  <sheetViews>
    <sheetView showGridLines="0" zoomScale="90" zoomScaleNormal="90" workbookViewId="0"/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  <col min="10" max="10" width="10.6640625" customWidth="1"/>
  </cols>
  <sheetData>
    <row r="1" spans="1:8" ht="59.25" customHeight="1" x14ac:dyDescent="0.2">
      <c r="B1" s="51" t="str">
        <f>"September "&amp;CalendarYear</f>
        <v>September 2021</v>
      </c>
      <c r="C1" s="52"/>
      <c r="D1" s="52"/>
      <c r="E1" s="53"/>
      <c r="F1" s="53"/>
      <c r="G1" s="53"/>
      <c r="H1" s="54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DaysAndWeeks+DATE(CalendarYear,9,1)-WEEKDAY(DATE(CalendarYear,9,1),(WeekStart="Monday")+1)+1</f>
        <v>44437</v>
      </c>
      <c r="C3" s="14">
        <v>44438</v>
      </c>
      <c r="D3" s="14">
        <v>44439</v>
      </c>
      <c r="E3" s="14">
        <v>44440</v>
      </c>
      <c r="F3" s="14">
        <v>44441</v>
      </c>
      <c r="G3" s="14">
        <v>44442</v>
      </c>
      <c r="H3" s="14">
        <v>44443</v>
      </c>
    </row>
    <row r="4" spans="1:8" ht="57.95" customHeight="1" x14ac:dyDescent="0.25">
      <c r="A4" s="8"/>
      <c r="B4" s="71"/>
      <c r="C4" s="71"/>
      <c r="D4" s="71"/>
      <c r="E4" s="71"/>
      <c r="F4" s="71"/>
      <c r="G4" s="71"/>
      <c r="H4" s="71"/>
    </row>
    <row r="5" spans="1:8" ht="19.5" customHeight="1" x14ac:dyDescent="0.2">
      <c r="A5" s="8"/>
      <c r="B5" s="12">
        <f t="array" ref="B5:H5">DaysAndWeeks+DATE(CalendarYear,9,1)-WEEKDAY(DATE(CalendarYear,9,1),(WeekStart="Monday")+1)+8</f>
        <v>44444</v>
      </c>
      <c r="C5" s="12">
        <v>44445</v>
      </c>
      <c r="D5" s="12">
        <v>44446</v>
      </c>
      <c r="E5" s="12">
        <v>44447</v>
      </c>
      <c r="F5" s="12">
        <v>44448</v>
      </c>
      <c r="G5" s="12">
        <v>44449</v>
      </c>
      <c r="H5" s="12">
        <v>44450</v>
      </c>
    </row>
    <row r="6" spans="1:8" ht="57.95" customHeight="1" x14ac:dyDescent="0.2">
      <c r="A6" s="8"/>
      <c r="B6" s="94"/>
      <c r="C6" s="94"/>
      <c r="D6" s="94"/>
      <c r="E6" s="94"/>
      <c r="F6" s="94"/>
      <c r="G6" s="94"/>
      <c r="H6" s="94"/>
    </row>
    <row r="7" spans="1:8" ht="19.5" customHeight="1" x14ac:dyDescent="0.25">
      <c r="A7" s="8"/>
      <c r="B7" s="14">
        <f t="array" ref="B7:H7">DaysAndWeeks+DATE(CalendarYear,9,1)-WEEKDAY(DATE(CalendarYear,9,1),(WeekStart="Monday")+1)+15</f>
        <v>44451</v>
      </c>
      <c r="C7" s="14">
        <v>44452</v>
      </c>
      <c r="D7" s="14">
        <v>44453</v>
      </c>
      <c r="E7" s="14">
        <v>44454</v>
      </c>
      <c r="F7" s="14">
        <v>44455</v>
      </c>
      <c r="G7" s="14">
        <v>44456</v>
      </c>
      <c r="H7" s="14">
        <v>44457</v>
      </c>
    </row>
    <row r="8" spans="1:8" ht="57.95" customHeight="1" x14ac:dyDescent="0.25">
      <c r="A8" s="8"/>
      <c r="B8" s="71"/>
      <c r="C8" s="71"/>
      <c r="D8" s="71"/>
      <c r="E8" s="71"/>
      <c r="F8" s="71"/>
      <c r="G8" s="71"/>
      <c r="H8" s="71"/>
    </row>
    <row r="9" spans="1:8" ht="19.5" customHeight="1" x14ac:dyDescent="0.2">
      <c r="A9" s="8"/>
      <c r="B9" s="12">
        <f t="array" ref="B9:H9">DaysAndWeeks+DATE(CalendarYear,9,1)-WEEKDAY(DATE(CalendarYear,9,1),(WeekStart="Monday")+1)+22</f>
        <v>44458</v>
      </c>
      <c r="C9" s="12">
        <v>44459</v>
      </c>
      <c r="D9" s="12">
        <v>44460</v>
      </c>
      <c r="E9" s="12">
        <v>44461</v>
      </c>
      <c r="F9" s="12">
        <v>44462</v>
      </c>
      <c r="G9" s="12">
        <v>44463</v>
      </c>
      <c r="H9" s="12">
        <v>44464</v>
      </c>
    </row>
    <row r="10" spans="1:8" ht="57.95" customHeight="1" x14ac:dyDescent="0.2">
      <c r="A10" s="8"/>
      <c r="B10" s="94"/>
      <c r="C10" s="94"/>
      <c r="D10" s="94"/>
      <c r="E10" s="94"/>
      <c r="F10" s="94"/>
      <c r="G10" s="94"/>
      <c r="H10" s="94"/>
    </row>
    <row r="11" spans="1:8" ht="19.5" customHeight="1" x14ac:dyDescent="0.25">
      <c r="A11" s="8"/>
      <c r="B11" s="14">
        <f t="array" ref="B11:H11">DaysAndWeeks+DATE(CalendarYear,9,1)-WEEKDAY(DATE(CalendarYear,9,1),(WeekStart="Monday")+1)+29</f>
        <v>44465</v>
      </c>
      <c r="C11" s="14">
        <v>44466</v>
      </c>
      <c r="D11" s="14">
        <v>44467</v>
      </c>
      <c r="E11" s="14">
        <v>44468</v>
      </c>
      <c r="F11" s="14">
        <v>44469</v>
      </c>
      <c r="G11" s="14">
        <v>44470</v>
      </c>
      <c r="H11" s="14">
        <v>44471</v>
      </c>
    </row>
    <row r="12" spans="1:8" ht="57.95" customHeight="1" x14ac:dyDescent="0.25">
      <c r="A12" s="8"/>
      <c r="B12" s="71"/>
      <c r="C12" s="71"/>
      <c r="D12" s="71"/>
      <c r="E12" s="71"/>
      <c r="F12" s="71"/>
      <c r="G12" s="71"/>
      <c r="H12" s="71"/>
    </row>
    <row r="13" spans="1:8" ht="19.5" customHeight="1" x14ac:dyDescent="0.2">
      <c r="A13" s="8"/>
      <c r="B13" s="12">
        <f t="array" ref="B13:C13">DaysAndWeeks+DATE(CalendarYear,9,1)-WEEKDAY(DATE(CalendarYear,9,1),(WeekStart="Monday")+1)+36</f>
        <v>44472</v>
      </c>
      <c r="C13" s="12">
        <v>44473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94"/>
      <c r="C14" s="94"/>
      <c r="D14" s="11"/>
      <c r="E14" s="102"/>
      <c r="F14" s="102"/>
      <c r="G14" s="102"/>
      <c r="H14" s="103"/>
    </row>
  </sheetData>
  <mergeCells count="1">
    <mergeCell ref="E13:H14"/>
  </mergeCells>
  <conditionalFormatting sqref="B11:H11 B13:C13">
    <cfRule type="expression" dxfId="16" priority="4">
      <formula>AND(DAY(B11)&gt;=1,DAY(B11)&lt;=15)</formula>
    </cfRule>
  </conditionalFormatting>
  <conditionalFormatting sqref="B3:G3">
    <cfRule type="expression" dxfId="15" priority="3">
      <formula>DAY(B3)&gt;8</formula>
    </cfRule>
  </conditionalFormatting>
  <conditionalFormatting sqref="D13">
    <cfRule type="expression" dxfId="14" priority="1">
      <formula>AND(DAY(D13)&gt;=1,DAY(D13)&lt;=15)</formula>
    </cfRule>
  </conditionalFormatting>
  <dataValidations xWindow="123" yWindow="348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A00-000000000000}"/>
    <dataValidation allowBlank="1" showInputMessage="1" showErrorMessage="1" prompt="Enter Notes in the cell at right" sqref="D13:D14" xr:uid="{00000000-0002-0000-0A00-000001000000}"/>
    <dataValidation allowBlank="1" showInputMessage="1" showErrorMessage="1" prompt="Enter Notes in this cell" sqref="E13:H14" xr:uid="{00000000-0002-0000-0A00-000002000000}"/>
    <dataValidation allowBlank="1" showInputMessage="1" showErrorMessage="1" prompt="The year in this cell is automatically updated. Select another year in cell K3 of the January worksheet to change the year" sqref="C1" xr:uid="{00000000-0002-0000-0A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9" r:id="rId4" name="Button 7">
              <controlPr defaultSize="0" print="0" autoFill="0" autoPict="0" macro="[0]!Button1_Click">
                <anchor>
                  <from>
                    <xdr:col>9</xdr:col>
                    <xdr:colOff>333375</xdr:colOff>
                    <xdr:row>3</xdr:row>
                    <xdr:rowOff>333375</xdr:rowOff>
                  </from>
                  <to>
                    <xdr:col>11</xdr:col>
                    <xdr:colOff>295275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5" name="Button 8">
              <controlPr defaultSize="0" print="0" autoFill="0" autoPict="0" macro="[0]!ButtonChange_Click">
                <anchor>
                  <from>
                    <xdr:col>9</xdr:col>
                    <xdr:colOff>314325</xdr:colOff>
                    <xdr:row>5</xdr:row>
                    <xdr:rowOff>285750</xdr:rowOff>
                  </from>
                  <to>
                    <xdr:col>11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9" tint="-0.249977111117893"/>
    <pageSetUpPr fitToPage="1"/>
  </sheetPr>
  <dimension ref="A1:H63"/>
  <sheetViews>
    <sheetView showGridLines="0" zoomScale="90" zoomScaleNormal="90" workbookViewId="0"/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</cols>
  <sheetData>
    <row r="1" spans="1:8" ht="59.25" customHeight="1" x14ac:dyDescent="0.2">
      <c r="A1" t="s">
        <v>17</v>
      </c>
      <c r="B1" s="66" t="str">
        <f>"October "&amp;CalendarYear</f>
        <v>October 2021</v>
      </c>
      <c r="C1" s="58"/>
      <c r="D1" s="58"/>
      <c r="E1" s="59"/>
      <c r="F1" s="59"/>
      <c r="G1" s="59"/>
      <c r="H1" s="60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DaysAndWeeks+DATE(CalendarYear,10,1)-WEEKDAY(DATE(CalendarYear,10,1),(WeekStart="Monday")+1)+1</f>
        <v>44465</v>
      </c>
      <c r="C3" s="14">
        <v>44466</v>
      </c>
      <c r="D3" s="14">
        <v>44467</v>
      </c>
      <c r="E3" s="14">
        <v>44468</v>
      </c>
      <c r="F3" s="14">
        <v>44469</v>
      </c>
      <c r="G3" s="14">
        <v>44470</v>
      </c>
      <c r="H3" s="14">
        <v>44471</v>
      </c>
    </row>
    <row r="4" spans="1:8" ht="57.95" customHeight="1" x14ac:dyDescent="0.25">
      <c r="A4" s="8"/>
      <c r="B4" s="71"/>
      <c r="C4" s="71"/>
      <c r="D4" s="71"/>
      <c r="E4" s="71"/>
      <c r="F4" s="71"/>
      <c r="G4" s="71"/>
      <c r="H4" s="71"/>
    </row>
    <row r="5" spans="1:8" ht="19.5" customHeight="1" x14ac:dyDescent="0.2">
      <c r="A5" s="8"/>
      <c r="B5" s="12">
        <f t="array" ref="B5:H5">DaysAndWeeks+DATE(CalendarYear,10,1)-WEEKDAY(DATE(CalendarYear,10,1),(WeekStart="Monday")+1)+8</f>
        <v>44472</v>
      </c>
      <c r="C5" s="12">
        <v>44473</v>
      </c>
      <c r="D5" s="12">
        <v>44474</v>
      </c>
      <c r="E5" s="12">
        <v>44475</v>
      </c>
      <c r="F5" s="12">
        <v>44476</v>
      </c>
      <c r="G5" s="12">
        <v>44477</v>
      </c>
      <c r="H5" s="12">
        <v>44478</v>
      </c>
    </row>
    <row r="6" spans="1:8" ht="57.95" customHeight="1" x14ac:dyDescent="0.2">
      <c r="A6" s="8"/>
      <c r="B6" s="94"/>
      <c r="C6" s="94"/>
      <c r="D6" s="94"/>
      <c r="E6" s="94"/>
      <c r="F6" s="94"/>
      <c r="G6" s="94"/>
      <c r="H6" s="94"/>
    </row>
    <row r="7" spans="1:8" ht="19.5" customHeight="1" x14ac:dyDescent="0.25">
      <c r="A7" s="8"/>
      <c r="B7" s="14">
        <f t="array" ref="B7:H7">DaysAndWeeks+DATE(CalendarYear,10,1)-WEEKDAY(DATE(CalendarYear,10,1),(WeekStart="Monday")+1)+15</f>
        <v>44479</v>
      </c>
      <c r="C7" s="14">
        <v>44480</v>
      </c>
      <c r="D7" s="14">
        <v>44481</v>
      </c>
      <c r="E7" s="14">
        <v>44482</v>
      </c>
      <c r="F7" s="14">
        <v>44483</v>
      </c>
      <c r="G7" s="14">
        <v>44484</v>
      </c>
      <c r="H7" s="14">
        <v>44485</v>
      </c>
    </row>
    <row r="8" spans="1:8" ht="57.95" customHeight="1" x14ac:dyDescent="0.25">
      <c r="A8" s="8"/>
      <c r="B8" s="71"/>
      <c r="C8" s="14"/>
      <c r="D8" s="71"/>
      <c r="E8" s="71"/>
      <c r="F8" s="71"/>
      <c r="G8" s="71"/>
      <c r="H8" s="71"/>
    </row>
    <row r="9" spans="1:8" ht="19.5" customHeight="1" x14ac:dyDescent="0.2">
      <c r="A9" s="8"/>
      <c r="B9" s="12">
        <f t="array" ref="B9:H9">DaysAndWeeks+DATE(CalendarYear,10,1)-WEEKDAY(DATE(CalendarYear,10,1),(WeekStart="Monday")+1)+22</f>
        <v>44486</v>
      </c>
      <c r="C9" s="12">
        <v>44487</v>
      </c>
      <c r="D9" s="12">
        <v>44488</v>
      </c>
      <c r="E9" s="12">
        <v>44489</v>
      </c>
      <c r="F9" s="12">
        <v>44490</v>
      </c>
      <c r="G9" s="12">
        <v>44491</v>
      </c>
      <c r="H9" s="12">
        <v>44492</v>
      </c>
    </row>
    <row r="10" spans="1:8" ht="57.95" customHeight="1" x14ac:dyDescent="0.25">
      <c r="A10" s="8"/>
      <c r="B10" s="94"/>
      <c r="C10" s="71"/>
      <c r="D10" s="71"/>
      <c r="E10" s="71"/>
      <c r="F10" s="71"/>
      <c r="G10" s="71"/>
      <c r="H10" s="71"/>
    </row>
    <row r="11" spans="1:8" ht="19.5" customHeight="1" x14ac:dyDescent="0.25">
      <c r="A11" s="8"/>
      <c r="B11" s="14">
        <f t="array" ref="B11:H11">DaysAndWeeks+DATE(CalendarYear,10,1)-WEEKDAY(DATE(CalendarYear,10,1),(WeekStart="Monday")+1)+29</f>
        <v>44493</v>
      </c>
      <c r="C11" s="14">
        <v>44494</v>
      </c>
      <c r="D11" s="14">
        <v>44495</v>
      </c>
      <c r="E11" s="14">
        <v>44496</v>
      </c>
      <c r="F11" s="14">
        <v>44497</v>
      </c>
      <c r="G11" s="14">
        <v>44498</v>
      </c>
      <c r="H11" s="14">
        <v>44499</v>
      </c>
    </row>
    <row r="12" spans="1:8" ht="57.95" customHeight="1" x14ac:dyDescent="0.25">
      <c r="A12" s="8"/>
      <c r="B12" s="94"/>
      <c r="C12" s="94"/>
      <c r="D12" s="94"/>
      <c r="E12" s="94"/>
      <c r="F12" s="71"/>
      <c r="G12" s="71"/>
      <c r="H12" s="71"/>
    </row>
    <row r="13" spans="1:8" ht="19.5" customHeight="1" x14ac:dyDescent="0.2">
      <c r="A13" s="8"/>
      <c r="B13" s="12">
        <f t="array" ref="B13:C13">DaysAndWeeks+DATE(CalendarYear,10,1)-WEEKDAY(DATE(CalendarYear,10,1),(WeekStart="Monday")+1)+36</f>
        <v>44500</v>
      </c>
      <c r="C13" s="12">
        <v>44501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94"/>
      <c r="C14" s="94"/>
      <c r="D14" s="11"/>
      <c r="E14" s="102"/>
      <c r="F14" s="102"/>
      <c r="G14" s="102"/>
      <c r="H14" s="103"/>
    </row>
    <row r="59" spans="2:8" x14ac:dyDescent="0.2">
      <c r="C59" t="s">
        <v>14</v>
      </c>
      <c r="D59" t="s">
        <v>15</v>
      </c>
      <c r="F59" t="s">
        <v>13</v>
      </c>
      <c r="G59" t="s">
        <v>16</v>
      </c>
      <c r="H59" t="s">
        <v>16</v>
      </c>
    </row>
    <row r="61" spans="2:8" x14ac:dyDescent="0.2">
      <c r="B61" t="s">
        <v>14</v>
      </c>
      <c r="C61" t="s">
        <v>18</v>
      </c>
      <c r="D61" t="s">
        <v>20</v>
      </c>
      <c r="E61" t="s">
        <v>14</v>
      </c>
      <c r="F61" t="s">
        <v>25</v>
      </c>
      <c r="G61" t="s">
        <v>24</v>
      </c>
    </row>
    <row r="63" spans="2:8" x14ac:dyDescent="0.2">
      <c r="B63" t="s">
        <v>19</v>
      </c>
    </row>
  </sheetData>
  <mergeCells count="1">
    <mergeCell ref="E13:H14"/>
  </mergeCells>
  <conditionalFormatting sqref="B11:H11 B13:C13">
    <cfRule type="expression" dxfId="13" priority="4">
      <formula>AND(DAY(B11)&gt;=1,DAY(B11)&lt;=15)</formula>
    </cfRule>
  </conditionalFormatting>
  <conditionalFormatting sqref="B3:G3">
    <cfRule type="expression" dxfId="12" priority="3">
      <formula>DAY(B3)&gt;8</formula>
    </cfRule>
  </conditionalFormatting>
  <conditionalFormatting sqref="D13">
    <cfRule type="expression" dxfId="11" priority="1">
      <formula>AND(DAY(D13)&gt;=1,DAY(D13)&lt;=15)</formula>
    </cfRule>
  </conditionalFormatting>
  <dataValidations xWindow="1101" yWindow="333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B00-000000000000}"/>
    <dataValidation allowBlank="1" showInputMessage="1" showErrorMessage="1" prompt="Enter Notes in the cell at right" sqref="D13:D14" xr:uid="{00000000-0002-0000-0B00-000001000000}"/>
    <dataValidation allowBlank="1" showInputMessage="1" showErrorMessage="1" prompt="Enter Notes in this cell" sqref="E13:H14" xr:uid="{00000000-0002-0000-0B00-000002000000}"/>
    <dataValidation allowBlank="1" showInputMessage="1" showErrorMessage="1" prompt="The year in this cell is automatically updated. Select another year in cell K3 of the January worksheet to change the year" sqref="C1" xr:uid="{00000000-0002-0000-0B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73" r:id="rId4" name="Button 17">
              <controlPr defaultSize="0" print="0" autoFill="0" autoPict="0" macro="[0]!Button1_Click">
                <anchor>
                  <from>
                    <xdr:col>9</xdr:col>
                    <xdr:colOff>390525</xdr:colOff>
                    <xdr:row>3</xdr:row>
                    <xdr:rowOff>304800</xdr:rowOff>
                  </from>
                  <to>
                    <xdr:col>11</xdr:col>
                    <xdr:colOff>495300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5" name="Button 18">
              <controlPr defaultSize="0" print="0" autoFill="0" autoPict="0" macro="[0]!ButtonChange_Click">
                <anchor>
                  <from>
                    <xdr:col>9</xdr:col>
                    <xdr:colOff>371475</xdr:colOff>
                    <xdr:row>5</xdr:row>
                    <xdr:rowOff>257175</xdr:rowOff>
                  </from>
                  <to>
                    <xdr:col>11</xdr:col>
                    <xdr:colOff>495300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9" tint="-0.499984740745262"/>
    <pageSetUpPr fitToPage="1"/>
  </sheetPr>
  <dimension ref="A1:H53"/>
  <sheetViews>
    <sheetView showGridLines="0" zoomScale="90" zoomScaleNormal="90" workbookViewId="0"/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</cols>
  <sheetData>
    <row r="1" spans="1:8" ht="59.25" customHeight="1" x14ac:dyDescent="0.2">
      <c r="B1" s="61" t="str">
        <f>"November "&amp;CalendarYear</f>
        <v>November 2021</v>
      </c>
      <c r="C1" s="55"/>
      <c r="D1" s="55"/>
      <c r="E1" s="56"/>
      <c r="F1" s="56"/>
      <c r="G1" s="56"/>
      <c r="H1" s="57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DaysAndWeeks+DATE(CalendarYear,11,1)-WEEKDAY(DATE(CalendarYear,11,1),(WeekStart="Monday")+1)+1</f>
        <v>44500</v>
      </c>
      <c r="C3" s="14">
        <v>44501</v>
      </c>
      <c r="D3" s="14">
        <v>44502</v>
      </c>
      <c r="E3" s="14">
        <v>44503</v>
      </c>
      <c r="F3" s="14">
        <v>44504</v>
      </c>
      <c r="G3" s="14">
        <v>44505</v>
      </c>
      <c r="H3" s="14">
        <v>44506</v>
      </c>
    </row>
    <row r="4" spans="1:8" ht="57.95" customHeight="1" x14ac:dyDescent="0.25">
      <c r="A4" s="8"/>
      <c r="B4" s="71"/>
      <c r="C4" s="71"/>
      <c r="D4" s="71"/>
      <c r="E4" s="71"/>
      <c r="F4" s="71"/>
      <c r="G4" s="71"/>
      <c r="H4" s="71"/>
    </row>
    <row r="5" spans="1:8" ht="19.5" customHeight="1" x14ac:dyDescent="0.2">
      <c r="A5" s="8"/>
      <c r="B5" s="12">
        <f t="array" ref="B5:H5">DaysAndWeeks+DATE(CalendarYear,11,1)-WEEKDAY(DATE(CalendarYear,11,1),(WeekStart="Monday")+1)+8</f>
        <v>44507</v>
      </c>
      <c r="C5" s="12">
        <v>44508</v>
      </c>
      <c r="D5" s="12">
        <v>44509</v>
      </c>
      <c r="E5" s="12">
        <v>44510</v>
      </c>
      <c r="F5" s="12">
        <v>44511</v>
      </c>
      <c r="G5" s="12">
        <v>44512</v>
      </c>
      <c r="H5" s="12">
        <v>44513</v>
      </c>
    </row>
    <row r="6" spans="1:8" ht="57.95" customHeight="1" x14ac:dyDescent="0.2">
      <c r="A6" s="8"/>
      <c r="B6" s="94"/>
      <c r="C6" s="94"/>
      <c r="D6" s="94"/>
      <c r="E6" s="94"/>
      <c r="F6" s="94"/>
      <c r="G6" s="94"/>
      <c r="H6" s="94"/>
    </row>
    <row r="7" spans="1:8" ht="19.5" customHeight="1" x14ac:dyDescent="0.25">
      <c r="A7" s="8"/>
      <c r="B7" s="14">
        <f t="array" ref="B7:H7">DaysAndWeeks+DATE(CalendarYear,11,1)-WEEKDAY(DATE(CalendarYear,11,1),(WeekStart="Monday")+1)+15</f>
        <v>44514</v>
      </c>
      <c r="C7" s="14">
        <v>44515</v>
      </c>
      <c r="D7" s="14">
        <v>44516</v>
      </c>
      <c r="E7" s="14">
        <v>44517</v>
      </c>
      <c r="F7" s="14">
        <v>44518</v>
      </c>
      <c r="G7" s="14">
        <v>44519</v>
      </c>
      <c r="H7" s="14">
        <v>44520</v>
      </c>
    </row>
    <row r="8" spans="1:8" ht="57.95" customHeight="1" x14ac:dyDescent="0.25">
      <c r="A8" s="8"/>
      <c r="B8" s="71"/>
      <c r="C8" s="71"/>
      <c r="D8" s="71"/>
      <c r="E8" s="71"/>
      <c r="F8" s="71"/>
      <c r="G8" s="71"/>
      <c r="H8" s="71"/>
    </row>
    <row r="9" spans="1:8" ht="19.5" customHeight="1" x14ac:dyDescent="0.2">
      <c r="A9" s="8"/>
      <c r="B9" s="12">
        <f t="array" ref="B9:H9">DaysAndWeeks+DATE(CalendarYear,11,1)-WEEKDAY(DATE(CalendarYear,11,1),(WeekStart="Monday")+1)+22</f>
        <v>44521</v>
      </c>
      <c r="C9" s="12">
        <v>44522</v>
      </c>
      <c r="D9" s="12">
        <v>44523</v>
      </c>
      <c r="E9" s="12">
        <v>44524</v>
      </c>
      <c r="F9" s="12">
        <v>44525</v>
      </c>
      <c r="G9" s="12">
        <v>44526</v>
      </c>
      <c r="H9" s="12">
        <v>44527</v>
      </c>
    </row>
    <row r="10" spans="1:8" ht="57.95" customHeight="1" x14ac:dyDescent="0.2">
      <c r="A10" s="8"/>
      <c r="B10" s="94"/>
      <c r="C10" s="94"/>
      <c r="D10" s="94"/>
      <c r="E10" s="94"/>
      <c r="F10" s="94"/>
      <c r="G10" s="94"/>
      <c r="H10" s="94"/>
    </row>
    <row r="11" spans="1:8" ht="19.5" customHeight="1" x14ac:dyDescent="0.25">
      <c r="A11" s="8"/>
      <c r="B11" s="14">
        <f t="array" ref="B11:H11">DaysAndWeeks+DATE(CalendarYear,11,1)-WEEKDAY(DATE(CalendarYear,11,1),(WeekStart="Monday")+1)+29</f>
        <v>44528</v>
      </c>
      <c r="C11" s="14">
        <v>44529</v>
      </c>
      <c r="D11" s="14">
        <v>44530</v>
      </c>
      <c r="E11" s="14">
        <v>44531</v>
      </c>
      <c r="F11" s="14">
        <v>44532</v>
      </c>
      <c r="G11" s="14">
        <v>44533</v>
      </c>
      <c r="H11" s="14">
        <v>44534</v>
      </c>
    </row>
    <row r="12" spans="1:8" ht="57.95" customHeight="1" x14ac:dyDescent="0.25">
      <c r="A12" s="8"/>
      <c r="B12" s="71"/>
      <c r="C12" s="71"/>
      <c r="D12" s="71"/>
      <c r="E12" s="71"/>
      <c r="F12" s="71"/>
      <c r="G12" s="71"/>
      <c r="H12" s="71"/>
    </row>
    <row r="13" spans="1:8" ht="19.5" customHeight="1" x14ac:dyDescent="0.2">
      <c r="A13" s="8"/>
      <c r="B13" s="12">
        <f t="array" ref="B13:C13">DaysAndWeeks+DATE(CalendarYear,11,1)-WEEKDAY(DATE(CalendarYear,11,1),(WeekStart="Monday")+1)+36</f>
        <v>44535</v>
      </c>
      <c r="C13" s="12">
        <v>44536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94"/>
      <c r="C14" s="94"/>
      <c r="D14" s="11"/>
      <c r="E14" s="102"/>
      <c r="F14" s="102"/>
      <c r="G14" s="102"/>
      <c r="H14" s="103"/>
    </row>
    <row r="53" spans="2:2" x14ac:dyDescent="0.2">
      <c r="B53" t="s">
        <v>19</v>
      </c>
    </row>
  </sheetData>
  <mergeCells count="1">
    <mergeCell ref="E13:H14"/>
  </mergeCells>
  <conditionalFormatting sqref="B11:H11 B13:C13">
    <cfRule type="expression" dxfId="10" priority="5">
      <formula>AND(DAY(B11)&gt;=1,DAY(B11)&lt;=15)</formula>
    </cfRule>
  </conditionalFormatting>
  <conditionalFormatting sqref="B3:G3">
    <cfRule type="expression" dxfId="9" priority="4">
      <formula>DAY(B3)&gt;8</formula>
    </cfRule>
  </conditionalFormatting>
  <conditionalFormatting sqref="D13">
    <cfRule type="expression" dxfId="8" priority="1">
      <formula>AND(DAY(D13)&gt;=1,DAY(D13)&lt;=15)</formula>
    </cfRule>
  </conditionalFormatting>
  <dataValidations xWindow="1217" yWindow="271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C00-000000000000}"/>
    <dataValidation allowBlank="1" showInputMessage="1" showErrorMessage="1" prompt="Enter Notes in the cell at right" sqref="D13:D14" xr:uid="{00000000-0002-0000-0C00-000001000000}"/>
    <dataValidation allowBlank="1" showInputMessage="1" showErrorMessage="1" prompt="Enter Notes in this cell" sqref="E13:H14" xr:uid="{00000000-0002-0000-0C00-000002000000}"/>
    <dataValidation allowBlank="1" showInputMessage="1" showErrorMessage="1" prompt="The year in this cell is automatically updated. Select another year in cell K3 of the January worksheet to change the year" sqref="C1" xr:uid="{00000000-0002-0000-0C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1_Click">
                <anchor>
                  <from>
                    <xdr:col>9</xdr:col>
                    <xdr:colOff>371475</xdr:colOff>
                    <xdr:row>3</xdr:row>
                    <xdr:rowOff>323850</xdr:rowOff>
                  </from>
                  <to>
                    <xdr:col>11</xdr:col>
                    <xdr:colOff>476250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ButtonChange_Click">
                <anchor>
                  <from>
                    <xdr:col>9</xdr:col>
                    <xdr:colOff>352425</xdr:colOff>
                    <xdr:row>5</xdr:row>
                    <xdr:rowOff>276225</xdr:rowOff>
                  </from>
                  <to>
                    <xdr:col>11</xdr:col>
                    <xdr:colOff>476250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6" tint="-0.249977111117893"/>
    <pageSetUpPr fitToPage="1"/>
  </sheetPr>
  <dimension ref="A1:H14"/>
  <sheetViews>
    <sheetView showGridLines="0" zoomScale="90" zoomScaleNormal="90" workbookViewId="0">
      <selection activeCell="B4" sqref="B4"/>
    </sheetView>
  </sheetViews>
  <sheetFormatPr defaultColWidth="8.88671875" defaultRowHeight="14.25" x14ac:dyDescent="0.2"/>
  <cols>
    <col min="1" max="1" width="2.88671875" customWidth="1"/>
    <col min="2" max="2" width="18.44140625" customWidth="1"/>
    <col min="3" max="8" width="17.88671875" customWidth="1"/>
    <col min="9" max="9" width="2.88671875" customWidth="1"/>
  </cols>
  <sheetData>
    <row r="1" spans="1:8" ht="59.25" customHeight="1" x14ac:dyDescent="0.2">
      <c r="B1" s="62" t="str">
        <f>"December "&amp;CalendarYear</f>
        <v>December 2021</v>
      </c>
      <c r="C1" s="63"/>
      <c r="D1" s="63"/>
      <c r="E1" s="64"/>
      <c r="F1" s="64"/>
      <c r="G1" s="64"/>
      <c r="H1" s="65"/>
    </row>
    <row r="2" spans="1:8" ht="21.75" customHeight="1" x14ac:dyDescent="0.2">
      <c r="A2" s="8"/>
      <c r="B2" s="77" t="str">
        <f>IF(WeekStart="SUNDAY", "SUNDAY","MONDAY")</f>
        <v>SUNDAY</v>
      </c>
      <c r="C2" s="76" t="str">
        <f t="shared" ref="C2:H2" si="0">UPPER(TEXT(C3,"dddd"))</f>
        <v>MONDAY</v>
      </c>
      <c r="D2" s="78" t="str">
        <f t="shared" si="0"/>
        <v>TUESDAY</v>
      </c>
      <c r="E2" s="79" t="str">
        <f t="shared" si="0"/>
        <v>WEDNESDAY</v>
      </c>
      <c r="F2" s="80" t="str">
        <f t="shared" si="0"/>
        <v>THURSDAY</v>
      </c>
      <c r="G2" s="81" t="str">
        <f t="shared" si="0"/>
        <v>FRIDAY</v>
      </c>
      <c r="H2" s="82" t="str">
        <f t="shared" si="0"/>
        <v>SATURDAY</v>
      </c>
    </row>
    <row r="3" spans="1:8" ht="19.5" customHeight="1" x14ac:dyDescent="0.25">
      <c r="A3" s="8"/>
      <c r="B3" s="14">
        <f t="array" ref="B3:H3">DaysAndWeeks+DATE(CalendarYear,12,1)-WEEKDAY(DATE(CalendarYear,12,1),(WeekStart="Monday")+1)+1</f>
        <v>44528</v>
      </c>
      <c r="C3" s="14">
        <v>44529</v>
      </c>
      <c r="D3" s="14">
        <v>44530</v>
      </c>
      <c r="E3" s="14">
        <v>44531</v>
      </c>
      <c r="F3" s="14">
        <v>44532</v>
      </c>
      <c r="G3" s="14">
        <v>44533</v>
      </c>
      <c r="H3" s="14">
        <v>44534</v>
      </c>
    </row>
    <row r="4" spans="1:8" ht="57.95" customHeight="1" x14ac:dyDescent="0.25">
      <c r="A4" s="8"/>
      <c r="B4" s="71"/>
      <c r="C4" s="93"/>
      <c r="D4" s="71"/>
      <c r="E4" s="71"/>
      <c r="F4" s="71"/>
      <c r="G4" s="71"/>
      <c r="H4" s="71"/>
    </row>
    <row r="5" spans="1:8" ht="19.5" customHeight="1" x14ac:dyDescent="0.2">
      <c r="A5" s="8"/>
      <c r="B5" s="12">
        <f t="array" ref="B5:H5">DaysAndWeeks+DATE(CalendarYear,12,1)-WEEKDAY(DATE(CalendarYear,12,1),(WeekStart="Monday")+1)+8</f>
        <v>44535</v>
      </c>
      <c r="C5" s="12">
        <v>44536</v>
      </c>
      <c r="D5" s="12">
        <v>44537</v>
      </c>
      <c r="E5" s="12">
        <v>44538</v>
      </c>
      <c r="F5" s="12">
        <v>44539</v>
      </c>
      <c r="G5" s="12">
        <v>44540</v>
      </c>
      <c r="H5" s="12">
        <v>44541</v>
      </c>
    </row>
    <row r="6" spans="1:8" ht="57.95" customHeight="1" x14ac:dyDescent="0.2">
      <c r="A6" s="8"/>
      <c r="B6" s="94"/>
      <c r="C6" s="94"/>
      <c r="D6" s="94"/>
      <c r="E6" s="94"/>
      <c r="F6" s="94"/>
      <c r="G6" s="94"/>
      <c r="H6" s="94"/>
    </row>
    <row r="7" spans="1:8" ht="19.5" customHeight="1" x14ac:dyDescent="0.25">
      <c r="A7" s="8"/>
      <c r="B7" s="14">
        <f t="array" ref="B7:H7">DaysAndWeeks+DATE(CalendarYear,12,1)-WEEKDAY(DATE(CalendarYear,12,1),(WeekStart="Monday")+1)+15</f>
        <v>44542</v>
      </c>
      <c r="C7" s="14">
        <v>44543</v>
      </c>
      <c r="D7" s="14">
        <v>44544</v>
      </c>
      <c r="E7" s="14">
        <v>44545</v>
      </c>
      <c r="F7" s="14">
        <v>44546</v>
      </c>
      <c r="G7" s="14">
        <v>44547</v>
      </c>
      <c r="H7" s="14">
        <v>44548</v>
      </c>
    </row>
    <row r="8" spans="1:8" ht="57.95" customHeight="1" x14ac:dyDescent="0.25">
      <c r="A8" s="8"/>
      <c r="B8" s="71"/>
      <c r="C8" s="71"/>
      <c r="D8" s="71"/>
      <c r="E8" s="71"/>
      <c r="F8" s="71"/>
      <c r="G8" s="71"/>
      <c r="H8" s="71"/>
    </row>
    <row r="9" spans="1:8" ht="19.5" customHeight="1" x14ac:dyDescent="0.2">
      <c r="A9" s="8"/>
      <c r="B9" s="12">
        <f t="array" ref="B9:H9">DaysAndWeeks+DATE(CalendarYear,12,1)-WEEKDAY(DATE(CalendarYear,12,1),(WeekStart="Monday")+1)+22</f>
        <v>44549</v>
      </c>
      <c r="C9" s="12">
        <v>44550</v>
      </c>
      <c r="D9" s="12">
        <v>44551</v>
      </c>
      <c r="E9" s="12">
        <v>44552</v>
      </c>
      <c r="F9" s="12">
        <v>44553</v>
      </c>
      <c r="G9" s="12">
        <v>44554</v>
      </c>
      <c r="H9" s="12">
        <v>44555</v>
      </c>
    </row>
    <row r="10" spans="1:8" ht="57.95" customHeight="1" x14ac:dyDescent="0.2">
      <c r="A10" s="8"/>
      <c r="B10" s="94"/>
      <c r="C10" s="94"/>
      <c r="D10" s="94"/>
      <c r="E10" s="94"/>
      <c r="F10" s="94"/>
      <c r="G10" s="94"/>
      <c r="H10" s="94"/>
    </row>
    <row r="11" spans="1:8" ht="19.5" customHeight="1" x14ac:dyDescent="0.25">
      <c r="A11" s="8"/>
      <c r="B11" s="14">
        <f t="array" ref="B11:H11">DaysAndWeeks+DATE(CalendarYear,12,1)-WEEKDAY(DATE(CalendarYear,12,1),(WeekStart="Monday")+1)+29</f>
        <v>44556</v>
      </c>
      <c r="C11" s="14">
        <v>44557</v>
      </c>
      <c r="D11" s="14">
        <v>44558</v>
      </c>
      <c r="E11" s="14">
        <v>44559</v>
      </c>
      <c r="F11" s="14">
        <v>44560</v>
      </c>
      <c r="G11" s="14">
        <v>44561</v>
      </c>
      <c r="H11" s="14">
        <v>44562</v>
      </c>
    </row>
    <row r="12" spans="1:8" ht="57.95" customHeight="1" x14ac:dyDescent="0.25">
      <c r="A12" s="8"/>
      <c r="B12" s="71"/>
      <c r="C12" s="71"/>
      <c r="D12" s="71"/>
      <c r="E12" s="71"/>
      <c r="F12" s="71"/>
      <c r="G12" s="71"/>
      <c r="H12" s="71"/>
    </row>
    <row r="13" spans="1:8" ht="19.5" customHeight="1" x14ac:dyDescent="0.2">
      <c r="A13" s="8"/>
      <c r="B13" s="12">
        <f t="array" ref="B13:C13">DaysAndWeeks+DATE(CalendarYear,12,1)-WEEKDAY(DATE(CalendarYear,12,1),(WeekStart="Monday")+1)+36</f>
        <v>44563</v>
      </c>
      <c r="C13" s="12">
        <v>44564</v>
      </c>
      <c r="D13" s="10" t="s">
        <v>1</v>
      </c>
      <c r="E13" s="100"/>
      <c r="F13" s="100"/>
      <c r="G13" s="100"/>
      <c r="H13" s="101"/>
    </row>
    <row r="14" spans="1:8" ht="57.95" customHeight="1" x14ac:dyDescent="0.2">
      <c r="A14" s="8"/>
      <c r="B14" s="94"/>
      <c r="C14" s="94"/>
      <c r="D14" s="11"/>
      <c r="E14" s="102"/>
      <c r="F14" s="102"/>
      <c r="G14" s="102"/>
      <c r="H14" s="103"/>
    </row>
  </sheetData>
  <mergeCells count="1">
    <mergeCell ref="E13:H14"/>
  </mergeCells>
  <conditionalFormatting sqref="B11:H11 B13:C13">
    <cfRule type="expression" dxfId="7" priority="4">
      <formula>AND(DAY(B11)&gt;=1,DAY(B11)&lt;=15)</formula>
    </cfRule>
  </conditionalFormatting>
  <conditionalFormatting sqref="B3:G3">
    <cfRule type="expression" dxfId="6" priority="3">
      <formula>DAY(B3)&gt;8</formula>
    </cfRule>
  </conditionalFormatting>
  <conditionalFormatting sqref="D13">
    <cfRule type="expression" dxfId="5" priority="1">
      <formula>AND(DAY(D13)&gt;=1,DAY(D13)&lt;=15)</formula>
    </cfRule>
  </conditionalFormatting>
  <dataValidations xWindow="1104" yWindow="254" count="4">
    <dataValidation allowBlank="1" showErrorMessage="1" prompt="The year in this cell is automatically updated based on the year entered in January worksheet. Calendar below has dates for previous and next month with lighter font shade" sqref="B1" xr:uid="{00000000-0002-0000-0D00-000000000000}"/>
    <dataValidation allowBlank="1" showInputMessage="1" showErrorMessage="1" prompt="Enter Notes in the cell at right" sqref="D13:D14" xr:uid="{00000000-0002-0000-0D00-000001000000}"/>
    <dataValidation allowBlank="1" showInputMessage="1" showErrorMessage="1" prompt="Enter Notes in this cell" sqref="E13:H14" xr:uid="{00000000-0002-0000-0D00-000002000000}"/>
    <dataValidation allowBlank="1" showInputMessage="1" showErrorMessage="1" prompt="The year in this cell is automatically updated. Select another year in cell K3 of the January worksheet to change the year" sqref="C1" xr:uid="{00000000-0002-0000-0D00-000003000000}"/>
  </dataValidations>
  <printOptions horizontalCentered="1" verticalCentered="1"/>
  <pageMargins left="0.7" right="0.7" top="0.75" bottom="0.75" header="0.3" footer="0.3"/>
  <pageSetup scale="89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1_Click">
                <anchor>
                  <from>
                    <xdr:col>9</xdr:col>
                    <xdr:colOff>180975</xdr:colOff>
                    <xdr:row>3</xdr:row>
                    <xdr:rowOff>352425</xdr:rowOff>
                  </from>
                  <to>
                    <xdr:col>11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Change_Click">
                <anchor>
                  <from>
                    <xdr:col>9</xdr:col>
                    <xdr:colOff>161925</xdr:colOff>
                    <xdr:row>5</xdr:row>
                    <xdr:rowOff>304800</xdr:rowOff>
                  </from>
                  <to>
                    <xdr:col>11</xdr:col>
                    <xdr:colOff>295275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426e97fa315356fffbdcd9876fe988c2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4b8f0def80e6d70ce3def20c90759a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8A8BCD-244E-41CF-AC5A-813C9AEC7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90E721-6104-41D1-93BF-62E14EE01C6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16c05727-aa75-4e4a-9b5f-8a80a1165891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71af3243-3dd4-4a8d-8c0d-dd76da1f02a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DA10363-92EC-4580-AE8C-D8F6C7EC38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TM11907363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27</vt:i4>
      </vt:variant>
    </vt:vector>
  </HeadingPairs>
  <TitlesOfParts>
    <vt:vector size="41" baseType="lpstr">
      <vt:lpstr>Enter</vt:lpstr>
      <vt:lpstr>Read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CalendarYear</vt:lpstr>
      <vt:lpstr>ColumnTitleRegion1..H12.1</vt:lpstr>
      <vt:lpstr>ColumnTitleRegion1..H12.10</vt:lpstr>
      <vt:lpstr>ColumnTitleRegion1..H12.11</vt:lpstr>
      <vt:lpstr>ColumnTitleRegion1..H12.12</vt:lpstr>
      <vt:lpstr>ColumnTitleRegion1..H12.2</vt:lpstr>
      <vt:lpstr>ColumnTitleRegion1..H12.3</vt:lpstr>
      <vt:lpstr>ColumnTitleRegion1..H12.4</vt:lpstr>
      <vt:lpstr>ColumnTitleRegion1..H12.5</vt:lpstr>
      <vt:lpstr>ColumnTitleRegion1..H12.6</vt:lpstr>
      <vt:lpstr>ColumnTitleRegion1..H12.7</vt:lpstr>
      <vt:lpstr>ColumnTitleRegion1..H12.8</vt:lpstr>
      <vt:lpstr>ColumnTitleRegion1..H12.9</vt:lpstr>
      <vt:lpstr>ColumnTitleRegion2..C14.1</vt:lpstr>
      <vt:lpstr>ColumnTitleRegion2..C14.10</vt:lpstr>
      <vt:lpstr>ColumnTitleRegion2..C14.11</vt:lpstr>
      <vt:lpstr>ColumnTitleRegion2..C14.12</vt:lpstr>
      <vt:lpstr>ColumnTitleRegion2..C14.2</vt:lpstr>
      <vt:lpstr>ColumnTitleRegion2..C14.3</vt:lpstr>
      <vt:lpstr>ColumnTitleRegion2..C14.4</vt:lpstr>
      <vt:lpstr>ColumnTitleRegion2..C14.5</vt:lpstr>
      <vt:lpstr>ColumnTitleRegion2..C14.6</vt:lpstr>
      <vt:lpstr>ColumnTitleRegion2..C14.7</vt:lpstr>
      <vt:lpstr>ColumnTitleRegion2..C14.8</vt:lpstr>
      <vt:lpstr>ColumnTitleRegion2..C14.9</vt:lpstr>
      <vt:lpstr>January!Print_Area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Baily Hohman</dc:creator>
  <cp:lastModifiedBy>Baily Hohman</cp:lastModifiedBy>
  <cp:lastPrinted>2021-10-24T20:02:18Z</cp:lastPrinted>
  <dcterms:created xsi:type="dcterms:W3CDTF">2020-07-08T21:12:30Z</dcterms:created>
  <dcterms:modified xsi:type="dcterms:W3CDTF">2022-01-10T23:14:39Z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